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blo\Downloads\"/>
    </mc:Choice>
  </mc:AlternateContent>
  <xr:revisionPtr revIDLastSave="0" documentId="13_ncr:1_{4AD736DE-7744-4D0D-B6D6-71E7E23F0EA8}" xr6:coauthVersionLast="47" xr6:coauthVersionMax="47" xr10:uidLastSave="{00000000-0000-0000-0000-000000000000}"/>
  <bookViews>
    <workbookView xWindow="-110" yWindow="-110" windowWidth="38620" windowHeight="21220" activeTab="2" xr2:uid="{00000000-000D-0000-FFFF-FFFF00000000}"/>
  </bookViews>
  <sheets>
    <sheet name="Copyright" sheetId="1" r:id="rId1"/>
    <sheet name="Abstract" sheetId="2" r:id="rId2"/>
    <sheet name="D01" sheetId="3" r:id="rId3"/>
    <sheet name="D02" sheetId="4" r:id="rId4"/>
    <sheet name="D03" sheetId="5" r:id="rId5"/>
    <sheet name="Internal" sheetId="6" r:id="rId6"/>
  </sheets>
  <definedNames>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0" i="5" l="1"/>
  <c r="N110" i="5"/>
  <c r="K110" i="5"/>
  <c r="C110" i="5"/>
  <c r="O109" i="5"/>
  <c r="N109" i="5"/>
  <c r="K109" i="5"/>
  <c r="C109" i="5"/>
  <c r="O108" i="5"/>
  <c r="N108" i="5"/>
  <c r="K108" i="5"/>
  <c r="C108" i="5"/>
  <c r="O107" i="5"/>
  <c r="N107" i="5"/>
  <c r="K107" i="5"/>
  <c r="C107" i="5"/>
  <c r="O106" i="5"/>
  <c r="N106" i="5"/>
  <c r="K106" i="5"/>
  <c r="C106" i="5"/>
  <c r="O105" i="5"/>
  <c r="N105" i="5"/>
  <c r="K105" i="5"/>
  <c r="C105" i="5"/>
  <c r="O104" i="5"/>
  <c r="N104" i="5"/>
  <c r="K104" i="5"/>
  <c r="C104" i="5"/>
  <c r="O103" i="5"/>
  <c r="N103" i="5"/>
  <c r="K103" i="5"/>
  <c r="C103" i="5"/>
  <c r="O102" i="5"/>
  <c r="N102" i="5"/>
  <c r="K102" i="5"/>
  <c r="C102" i="5"/>
  <c r="O101" i="5"/>
  <c r="N101" i="5"/>
  <c r="K101" i="5"/>
  <c r="C101" i="5"/>
  <c r="O100" i="5"/>
  <c r="N100" i="5"/>
  <c r="K100" i="5"/>
  <c r="C100" i="5"/>
  <c r="O99" i="5"/>
  <c r="N99" i="5"/>
  <c r="K99" i="5"/>
  <c r="C99" i="5"/>
  <c r="O98" i="5"/>
  <c r="N98" i="5"/>
  <c r="K98" i="5"/>
  <c r="C98" i="5"/>
  <c r="O97" i="5"/>
  <c r="N97" i="5"/>
  <c r="K97" i="5"/>
  <c r="C97" i="5"/>
  <c r="O96" i="5"/>
  <c r="N96" i="5"/>
  <c r="K96" i="5"/>
  <c r="C96" i="5"/>
  <c r="O95" i="5"/>
  <c r="N95" i="5"/>
  <c r="K95" i="5"/>
  <c r="C95" i="5"/>
  <c r="O94" i="5"/>
  <c r="N94" i="5"/>
  <c r="K94" i="5"/>
  <c r="C94" i="5"/>
  <c r="O93" i="5"/>
  <c r="N93" i="5"/>
  <c r="K93" i="5"/>
  <c r="C93" i="5"/>
  <c r="O92" i="5"/>
  <c r="N92" i="5"/>
  <c r="K92" i="5"/>
  <c r="C92" i="5"/>
  <c r="O91" i="5"/>
  <c r="N91" i="5"/>
  <c r="K91" i="5"/>
  <c r="C91" i="5"/>
  <c r="O90" i="5"/>
  <c r="E7" i="5" s="1"/>
  <c r="N90" i="5"/>
  <c r="E6" i="5" s="1"/>
  <c r="K90" i="5"/>
  <c r="C90" i="5"/>
  <c r="O89" i="5"/>
  <c r="N89" i="5"/>
  <c r="K89" i="5"/>
  <c r="C89" i="5"/>
  <c r="O88" i="5"/>
  <c r="N88" i="5"/>
  <c r="K88" i="5"/>
  <c r="C88" i="5"/>
  <c r="O87" i="5"/>
  <c r="N87" i="5"/>
  <c r="K87" i="5"/>
  <c r="C87" i="5"/>
  <c r="O86" i="5"/>
  <c r="N86" i="5"/>
  <c r="K86" i="5"/>
  <c r="C86" i="5"/>
  <c r="O85" i="5"/>
  <c r="N85" i="5"/>
  <c r="K85" i="5"/>
  <c r="C85" i="5"/>
  <c r="O84" i="5"/>
  <c r="N84" i="5"/>
  <c r="K84" i="5"/>
  <c r="C84" i="5"/>
  <c r="O83" i="5"/>
  <c r="N83" i="5"/>
  <c r="K83" i="5"/>
  <c r="C83" i="5"/>
  <c r="O82" i="5"/>
  <c r="N82" i="5"/>
  <c r="K82" i="5"/>
  <c r="C82" i="5"/>
  <c r="O81" i="5"/>
  <c r="N81" i="5"/>
  <c r="K81" i="5"/>
  <c r="C81" i="5"/>
  <c r="O80" i="5"/>
  <c r="N80" i="5"/>
  <c r="K80" i="5"/>
  <c r="C80" i="5"/>
  <c r="O79" i="5"/>
  <c r="N79" i="5"/>
  <c r="K79" i="5"/>
  <c r="C79" i="5"/>
  <c r="O78" i="5"/>
  <c r="N78" i="5"/>
  <c r="K78" i="5"/>
  <c r="C78" i="5"/>
  <c r="O77" i="5"/>
  <c r="N77" i="5"/>
  <c r="K77" i="5"/>
  <c r="C77" i="5"/>
  <c r="O76" i="5"/>
  <c r="N76" i="5"/>
  <c r="K76" i="5"/>
  <c r="C76" i="5"/>
  <c r="O75" i="5"/>
  <c r="N75" i="5"/>
  <c r="K75" i="5"/>
  <c r="C75" i="5"/>
  <c r="O74" i="5"/>
  <c r="N74" i="5"/>
  <c r="K74" i="5"/>
  <c r="C74" i="5"/>
  <c r="O73" i="5"/>
  <c r="N73" i="5"/>
  <c r="K73" i="5"/>
  <c r="C73" i="5"/>
  <c r="O72" i="5"/>
  <c r="N72" i="5"/>
  <c r="K72" i="5"/>
  <c r="C72" i="5"/>
  <c r="O71" i="5"/>
  <c r="N71" i="5"/>
  <c r="K71" i="5"/>
  <c r="C71" i="5"/>
  <c r="O70" i="5"/>
  <c r="N70" i="5"/>
  <c r="K70" i="5"/>
  <c r="C70" i="5"/>
  <c r="O69" i="5"/>
  <c r="N69" i="5"/>
  <c r="K69" i="5"/>
  <c r="C69" i="5"/>
  <c r="O68" i="5"/>
  <c r="N68" i="5"/>
  <c r="K68" i="5"/>
  <c r="C68" i="5"/>
  <c r="O67" i="5"/>
  <c r="N67" i="5"/>
  <c r="K67" i="5"/>
  <c r="C67" i="5"/>
  <c r="O66" i="5"/>
  <c r="N66" i="5"/>
  <c r="K66" i="5"/>
  <c r="C66" i="5"/>
  <c r="O65" i="5"/>
  <c r="N65" i="5"/>
  <c r="K65" i="5"/>
  <c r="C65" i="5"/>
  <c r="O64" i="5"/>
  <c r="N64" i="5"/>
  <c r="K64" i="5"/>
  <c r="C64" i="5"/>
  <c r="O63" i="5"/>
  <c r="N63" i="5"/>
  <c r="K63" i="5"/>
  <c r="C63" i="5"/>
  <c r="O62" i="5"/>
  <c r="N62" i="5"/>
  <c r="K62" i="5"/>
  <c r="C62" i="5"/>
  <c r="O61" i="5"/>
  <c r="N61" i="5"/>
  <c r="K61" i="5"/>
  <c r="C61" i="5"/>
  <c r="O60" i="5"/>
  <c r="N60" i="5"/>
  <c r="K60" i="5"/>
  <c r="C60" i="5"/>
  <c r="O59" i="5"/>
  <c r="N59" i="5"/>
  <c r="K59" i="5"/>
  <c r="C59" i="5"/>
  <c r="O58" i="5"/>
  <c r="N58" i="5"/>
  <c r="K58" i="5"/>
  <c r="C58" i="5"/>
  <c r="O57" i="5"/>
  <c r="N57" i="5"/>
  <c r="K57" i="5"/>
  <c r="C57" i="5"/>
  <c r="O56" i="5"/>
  <c r="N56" i="5"/>
  <c r="K56" i="5"/>
  <c r="C56" i="5"/>
  <c r="O55" i="5"/>
  <c r="N55" i="5"/>
  <c r="K55" i="5"/>
  <c r="C55" i="5"/>
  <c r="O54" i="5"/>
  <c r="N54" i="5"/>
  <c r="K54" i="5"/>
  <c r="C54" i="5"/>
  <c r="O53" i="5"/>
  <c r="N53" i="5"/>
  <c r="K53" i="5"/>
  <c r="C53" i="5"/>
  <c r="O52" i="5"/>
  <c r="N52" i="5"/>
  <c r="K52" i="5"/>
  <c r="C52" i="5"/>
  <c r="O51" i="5"/>
  <c r="N51" i="5"/>
  <c r="K51" i="5"/>
  <c r="C51" i="5"/>
  <c r="O50" i="5"/>
  <c r="N50" i="5"/>
  <c r="K50" i="5"/>
  <c r="C50" i="5"/>
  <c r="O49" i="5"/>
  <c r="N49" i="5"/>
  <c r="K49" i="5"/>
  <c r="C49" i="5"/>
  <c r="O48" i="5"/>
  <c r="N48" i="5"/>
  <c r="K48" i="5"/>
  <c r="C48" i="5"/>
  <c r="O47" i="5"/>
  <c r="N47" i="5"/>
  <c r="K47" i="5"/>
  <c r="C47" i="5"/>
  <c r="O46" i="5"/>
  <c r="N46" i="5"/>
  <c r="K46" i="5"/>
  <c r="C46" i="5"/>
  <c r="O45" i="5"/>
  <c r="N45" i="5"/>
  <c r="K45" i="5"/>
  <c r="C45" i="5"/>
  <c r="O44" i="5"/>
  <c r="N44" i="5"/>
  <c r="K44" i="5"/>
  <c r="C44" i="5"/>
  <c r="O43" i="5"/>
  <c r="N43" i="5"/>
  <c r="K43" i="5"/>
  <c r="C43" i="5"/>
  <c r="O42" i="5"/>
  <c r="N42" i="5"/>
  <c r="K42" i="5"/>
  <c r="C42" i="5"/>
  <c r="O41" i="5"/>
  <c r="N41" i="5"/>
  <c r="K41" i="5"/>
  <c r="C41" i="5"/>
  <c r="O40" i="5"/>
  <c r="N40" i="5"/>
  <c r="K40" i="5"/>
  <c r="C40" i="5"/>
  <c r="O39" i="5"/>
  <c r="N39" i="5"/>
  <c r="K39" i="5"/>
  <c r="C39" i="5"/>
  <c r="O38" i="5"/>
  <c r="N38" i="5"/>
  <c r="K38" i="5"/>
  <c r="C38" i="5"/>
  <c r="O37" i="5"/>
  <c r="N37" i="5"/>
  <c r="K37" i="5"/>
  <c r="C37" i="5"/>
  <c r="O36" i="5"/>
  <c r="N36" i="5"/>
  <c r="K36" i="5"/>
  <c r="C36" i="5"/>
  <c r="O35" i="5"/>
  <c r="N35" i="5"/>
  <c r="K35" i="5"/>
  <c r="C35" i="5"/>
  <c r="O34" i="5"/>
  <c r="N34" i="5"/>
  <c r="K34" i="5"/>
  <c r="C34" i="5"/>
  <c r="O33" i="5"/>
  <c r="N33" i="5"/>
  <c r="K33" i="5"/>
  <c r="C33" i="5"/>
  <c r="O32" i="5"/>
  <c r="N32" i="5"/>
  <c r="K32" i="5"/>
  <c r="C32" i="5"/>
  <c r="O31" i="5"/>
  <c r="N31" i="5"/>
  <c r="K31" i="5"/>
  <c r="C31" i="5"/>
  <c r="O30" i="5"/>
  <c r="N30" i="5"/>
  <c r="K30" i="5"/>
  <c r="C30" i="5"/>
  <c r="O29" i="5"/>
  <c r="N29" i="5"/>
  <c r="K29" i="5"/>
  <c r="C29" i="5"/>
  <c r="O28" i="5"/>
  <c r="N28" i="5"/>
  <c r="K28" i="5"/>
  <c r="C28" i="5"/>
  <c r="O27" i="5"/>
  <c r="N27" i="5"/>
  <c r="K27" i="5"/>
  <c r="C27" i="5"/>
  <c r="O26" i="5"/>
  <c r="N26" i="5"/>
  <c r="K26" i="5"/>
  <c r="C26" i="5"/>
  <c r="O25" i="5"/>
  <c r="N25" i="5"/>
  <c r="K25" i="5"/>
  <c r="C25" i="5"/>
  <c r="O24" i="5"/>
  <c r="N24" i="5"/>
  <c r="K24" i="5"/>
  <c r="C24" i="5"/>
  <c r="O23" i="5"/>
  <c r="N23" i="5"/>
  <c r="K23" i="5"/>
  <c r="C23" i="5"/>
  <c r="O22" i="5"/>
  <c r="N22" i="5"/>
  <c r="K22" i="5"/>
  <c r="C22" i="5"/>
  <c r="O21" i="5"/>
  <c r="N21" i="5"/>
  <c r="K21" i="5"/>
  <c r="C21" i="5"/>
  <c r="O20" i="5"/>
  <c r="N20" i="5"/>
  <c r="K20" i="5"/>
  <c r="C20" i="5"/>
  <c r="O19" i="5"/>
  <c r="N19" i="5"/>
  <c r="K19" i="5"/>
  <c r="C19" i="5"/>
  <c r="O18" i="5"/>
  <c r="N18" i="5"/>
  <c r="K18" i="5"/>
  <c r="C18" i="5"/>
  <c r="O17" i="5"/>
  <c r="N17" i="5"/>
  <c r="K17" i="5"/>
  <c r="C17" i="5"/>
  <c r="O16" i="5"/>
  <c r="N16" i="5"/>
  <c r="K16" i="5"/>
  <c r="C16" i="5"/>
  <c r="O110" i="4"/>
  <c r="N110" i="4"/>
  <c r="K110" i="4"/>
  <c r="C110" i="4"/>
  <c r="O109" i="4"/>
  <c r="N109" i="4"/>
  <c r="K109" i="4"/>
  <c r="C109" i="4"/>
  <c r="O108" i="4"/>
  <c r="N108" i="4"/>
  <c r="K108" i="4"/>
  <c r="C108" i="4"/>
  <c r="O107" i="4"/>
  <c r="N107" i="4"/>
  <c r="K107" i="4"/>
  <c r="C107" i="4"/>
  <c r="O106" i="4"/>
  <c r="N106" i="4"/>
  <c r="K106" i="4"/>
  <c r="C106" i="4"/>
  <c r="O105" i="4"/>
  <c r="N105" i="4"/>
  <c r="K105" i="4"/>
  <c r="C105" i="4"/>
  <c r="O104" i="4"/>
  <c r="N104" i="4"/>
  <c r="K104" i="4"/>
  <c r="C104" i="4"/>
  <c r="O103" i="4"/>
  <c r="N103" i="4"/>
  <c r="K103" i="4"/>
  <c r="C103" i="4"/>
  <c r="O102" i="4"/>
  <c r="N102" i="4"/>
  <c r="K102" i="4"/>
  <c r="C102" i="4"/>
  <c r="O101" i="4"/>
  <c r="N101" i="4"/>
  <c r="K101" i="4"/>
  <c r="C101" i="4"/>
  <c r="O100" i="4"/>
  <c r="N100" i="4"/>
  <c r="K100" i="4"/>
  <c r="C100" i="4"/>
  <c r="O99" i="4"/>
  <c r="N99" i="4"/>
  <c r="K99" i="4"/>
  <c r="C99" i="4"/>
  <c r="O98" i="4"/>
  <c r="N98" i="4"/>
  <c r="K98" i="4"/>
  <c r="C98" i="4"/>
  <c r="O97" i="4"/>
  <c r="N97" i="4"/>
  <c r="K97" i="4"/>
  <c r="C97" i="4"/>
  <c r="O96" i="4"/>
  <c r="N96" i="4"/>
  <c r="K96" i="4"/>
  <c r="C96" i="4"/>
  <c r="O95" i="4"/>
  <c r="N95" i="4"/>
  <c r="K95" i="4"/>
  <c r="C95" i="4"/>
  <c r="O94" i="4"/>
  <c r="N94" i="4"/>
  <c r="K94" i="4"/>
  <c r="C94" i="4"/>
  <c r="O93" i="4"/>
  <c r="N93" i="4"/>
  <c r="K93" i="4"/>
  <c r="C93" i="4"/>
  <c r="O92" i="4"/>
  <c r="N92" i="4"/>
  <c r="K92" i="4"/>
  <c r="C92" i="4"/>
  <c r="O91" i="4"/>
  <c r="N91" i="4"/>
  <c r="K91" i="4"/>
  <c r="C91" i="4"/>
  <c r="O90" i="4"/>
  <c r="N90" i="4"/>
  <c r="K90" i="4"/>
  <c r="C90" i="4"/>
  <c r="O89" i="4"/>
  <c r="N89" i="4"/>
  <c r="K89" i="4"/>
  <c r="C89" i="4"/>
  <c r="O88" i="4"/>
  <c r="N88" i="4"/>
  <c r="K88" i="4"/>
  <c r="C88" i="4"/>
  <c r="O87" i="4"/>
  <c r="N87" i="4"/>
  <c r="K87" i="4"/>
  <c r="C87" i="4"/>
  <c r="O86" i="4"/>
  <c r="N86" i="4"/>
  <c r="K86" i="4"/>
  <c r="C86" i="4"/>
  <c r="O85" i="4"/>
  <c r="N85" i="4"/>
  <c r="K85" i="4"/>
  <c r="C85" i="4"/>
  <c r="O84" i="4"/>
  <c r="N84" i="4"/>
  <c r="K84" i="4"/>
  <c r="C84" i="4"/>
  <c r="O83" i="4"/>
  <c r="N83" i="4"/>
  <c r="K83" i="4"/>
  <c r="C83" i="4"/>
  <c r="O82" i="4"/>
  <c r="N82" i="4"/>
  <c r="K82" i="4"/>
  <c r="C82" i="4"/>
  <c r="O81" i="4"/>
  <c r="N81" i="4"/>
  <c r="K81" i="4"/>
  <c r="C81" i="4"/>
  <c r="O80" i="4"/>
  <c r="N80" i="4"/>
  <c r="K80" i="4"/>
  <c r="C80" i="4"/>
  <c r="O79" i="4"/>
  <c r="N79" i="4"/>
  <c r="K79" i="4"/>
  <c r="C79" i="4"/>
  <c r="O78" i="4"/>
  <c r="N78" i="4"/>
  <c r="K78" i="4"/>
  <c r="C78" i="4"/>
  <c r="O77" i="4"/>
  <c r="N77" i="4"/>
  <c r="K77" i="4"/>
  <c r="C77" i="4"/>
  <c r="O76" i="4"/>
  <c r="N76" i="4"/>
  <c r="K76" i="4"/>
  <c r="C76" i="4"/>
  <c r="O75" i="4"/>
  <c r="N75" i="4"/>
  <c r="K75" i="4"/>
  <c r="C75" i="4"/>
  <c r="O74" i="4"/>
  <c r="N74" i="4"/>
  <c r="K74" i="4"/>
  <c r="C74" i="4"/>
  <c r="O73" i="4"/>
  <c r="N73" i="4"/>
  <c r="K73" i="4"/>
  <c r="C73" i="4"/>
  <c r="O72" i="4"/>
  <c r="N72" i="4"/>
  <c r="K72" i="4"/>
  <c r="C72" i="4"/>
  <c r="O71" i="4"/>
  <c r="N71" i="4"/>
  <c r="K71" i="4"/>
  <c r="C71" i="4"/>
  <c r="O70" i="4"/>
  <c r="N70" i="4"/>
  <c r="K70" i="4"/>
  <c r="C70" i="4"/>
  <c r="O69" i="4"/>
  <c r="N69" i="4"/>
  <c r="K69" i="4"/>
  <c r="C69" i="4"/>
  <c r="O68" i="4"/>
  <c r="N68" i="4"/>
  <c r="K68" i="4"/>
  <c r="C68" i="4"/>
  <c r="O67" i="4"/>
  <c r="N67" i="4"/>
  <c r="K67" i="4"/>
  <c r="C67" i="4"/>
  <c r="O66" i="4"/>
  <c r="N66" i="4"/>
  <c r="K66" i="4"/>
  <c r="C66" i="4"/>
  <c r="O65" i="4"/>
  <c r="N65" i="4"/>
  <c r="K65" i="4"/>
  <c r="C65" i="4"/>
  <c r="O64" i="4"/>
  <c r="N64" i="4"/>
  <c r="K64" i="4"/>
  <c r="C64" i="4"/>
  <c r="O63" i="4"/>
  <c r="N63" i="4"/>
  <c r="K63" i="4"/>
  <c r="C63" i="4"/>
  <c r="O62" i="4"/>
  <c r="N62" i="4"/>
  <c r="K62" i="4"/>
  <c r="C62" i="4"/>
  <c r="O61" i="4"/>
  <c r="N61" i="4"/>
  <c r="K61" i="4"/>
  <c r="C61" i="4"/>
  <c r="O60" i="4"/>
  <c r="N60" i="4"/>
  <c r="K60" i="4"/>
  <c r="C60" i="4"/>
  <c r="O59" i="4"/>
  <c r="N59" i="4"/>
  <c r="K59" i="4"/>
  <c r="C59" i="4"/>
  <c r="O58" i="4"/>
  <c r="E7" i="4" s="1"/>
  <c r="N58" i="4"/>
  <c r="K58" i="4"/>
  <c r="C58" i="4"/>
  <c r="O57" i="4"/>
  <c r="N57" i="4"/>
  <c r="K57" i="4"/>
  <c r="C57" i="4"/>
  <c r="O56" i="4"/>
  <c r="N56" i="4"/>
  <c r="K56" i="4"/>
  <c r="C56" i="4"/>
  <c r="O55" i="4"/>
  <c r="N55" i="4"/>
  <c r="K55" i="4"/>
  <c r="C55" i="4"/>
  <c r="O54" i="4"/>
  <c r="N54" i="4"/>
  <c r="K54" i="4"/>
  <c r="C54" i="4"/>
  <c r="O53" i="4"/>
  <c r="N53" i="4"/>
  <c r="K53" i="4"/>
  <c r="C53" i="4"/>
  <c r="O52" i="4"/>
  <c r="N52" i="4"/>
  <c r="K52" i="4"/>
  <c r="C52" i="4"/>
  <c r="O51" i="4"/>
  <c r="N51" i="4"/>
  <c r="K51" i="4"/>
  <c r="C51" i="4"/>
  <c r="O50" i="4"/>
  <c r="N50" i="4"/>
  <c r="K50" i="4"/>
  <c r="C50" i="4"/>
  <c r="O49" i="4"/>
  <c r="N49" i="4"/>
  <c r="K49" i="4"/>
  <c r="C49" i="4"/>
  <c r="O48" i="4"/>
  <c r="N48" i="4"/>
  <c r="K48" i="4"/>
  <c r="C48" i="4"/>
  <c r="O47" i="4"/>
  <c r="N47" i="4"/>
  <c r="K47" i="4"/>
  <c r="C47" i="4"/>
  <c r="O46" i="4"/>
  <c r="N46" i="4"/>
  <c r="K46" i="4"/>
  <c r="C46" i="4"/>
  <c r="O45" i="4"/>
  <c r="N45" i="4"/>
  <c r="K45" i="4"/>
  <c r="C45" i="4"/>
  <c r="O44" i="4"/>
  <c r="N44" i="4"/>
  <c r="K44" i="4"/>
  <c r="C44" i="4"/>
  <c r="O43" i="4"/>
  <c r="N43" i="4"/>
  <c r="K43" i="4"/>
  <c r="C43" i="4"/>
  <c r="O42" i="4"/>
  <c r="N42" i="4"/>
  <c r="K42" i="4"/>
  <c r="C42" i="4"/>
  <c r="O41" i="4"/>
  <c r="N41" i="4"/>
  <c r="K41" i="4"/>
  <c r="C41" i="4"/>
  <c r="O40" i="4"/>
  <c r="N40" i="4"/>
  <c r="K40" i="4"/>
  <c r="C40" i="4"/>
  <c r="O39" i="4"/>
  <c r="N39" i="4"/>
  <c r="K39" i="4"/>
  <c r="C39" i="4"/>
  <c r="O38" i="4"/>
  <c r="N38" i="4"/>
  <c r="K38" i="4"/>
  <c r="C38" i="4"/>
  <c r="O37" i="4"/>
  <c r="N37" i="4"/>
  <c r="K37" i="4"/>
  <c r="C37" i="4"/>
  <c r="O36" i="4"/>
  <c r="N36" i="4"/>
  <c r="K36" i="4"/>
  <c r="C36" i="4"/>
  <c r="O35" i="4"/>
  <c r="N35" i="4"/>
  <c r="K35" i="4"/>
  <c r="C35" i="4"/>
  <c r="O34" i="4"/>
  <c r="N34" i="4"/>
  <c r="K34" i="4"/>
  <c r="C34" i="4"/>
  <c r="O33" i="4"/>
  <c r="N33" i="4"/>
  <c r="K33" i="4"/>
  <c r="C33" i="4"/>
  <c r="O32" i="4"/>
  <c r="N32" i="4"/>
  <c r="K32" i="4"/>
  <c r="C32" i="4"/>
  <c r="O31" i="4"/>
  <c r="N31" i="4"/>
  <c r="K31" i="4"/>
  <c r="C31" i="4"/>
  <c r="O30" i="4"/>
  <c r="N30" i="4"/>
  <c r="K30" i="4"/>
  <c r="C30" i="4"/>
  <c r="O29" i="4"/>
  <c r="N29" i="4"/>
  <c r="K29" i="4"/>
  <c r="C29" i="4"/>
  <c r="O28" i="4"/>
  <c r="N28" i="4"/>
  <c r="K28" i="4"/>
  <c r="C28" i="4"/>
  <c r="O27" i="4"/>
  <c r="N27" i="4"/>
  <c r="K27" i="4"/>
  <c r="C27" i="4"/>
  <c r="O26" i="4"/>
  <c r="N26" i="4"/>
  <c r="K26" i="4"/>
  <c r="C26" i="4"/>
  <c r="O25" i="4"/>
  <c r="N25" i="4"/>
  <c r="K25" i="4"/>
  <c r="C25" i="4"/>
  <c r="O24" i="4"/>
  <c r="N24" i="4"/>
  <c r="K24" i="4"/>
  <c r="C24" i="4"/>
  <c r="O23" i="4"/>
  <c r="N23" i="4"/>
  <c r="K23" i="4"/>
  <c r="C23" i="4"/>
  <c r="O22" i="4"/>
  <c r="N22" i="4"/>
  <c r="K22" i="4"/>
  <c r="C22" i="4"/>
  <c r="O21" i="4"/>
  <c r="N21" i="4"/>
  <c r="K21" i="4"/>
  <c r="C21" i="4"/>
  <c r="O20" i="4"/>
  <c r="N20" i="4"/>
  <c r="K20" i="4"/>
  <c r="C20" i="4"/>
  <c r="O19" i="4"/>
  <c r="N19" i="4"/>
  <c r="K19" i="4"/>
  <c r="C19" i="4"/>
  <c r="E6" i="4"/>
  <c r="O110" i="3"/>
  <c r="N110" i="3"/>
  <c r="K110" i="3"/>
  <c r="C110" i="3"/>
  <c r="O109" i="3"/>
  <c r="N109" i="3"/>
  <c r="K109" i="3"/>
  <c r="C109" i="3"/>
  <c r="O108" i="3"/>
  <c r="N108" i="3"/>
  <c r="K108" i="3"/>
  <c r="C108" i="3"/>
  <c r="O107" i="3"/>
  <c r="N107" i="3"/>
  <c r="K107" i="3"/>
  <c r="C107" i="3"/>
  <c r="O106" i="3"/>
  <c r="N106" i="3"/>
  <c r="K106" i="3"/>
  <c r="C106" i="3"/>
  <c r="O105" i="3"/>
  <c r="N105" i="3"/>
  <c r="K105" i="3"/>
  <c r="C105" i="3"/>
  <c r="O104" i="3"/>
  <c r="N104" i="3"/>
  <c r="K104" i="3"/>
  <c r="C104" i="3"/>
  <c r="O103" i="3"/>
  <c r="N103" i="3"/>
  <c r="K103" i="3"/>
  <c r="C103" i="3"/>
  <c r="O102" i="3"/>
  <c r="N102" i="3"/>
  <c r="K102" i="3"/>
  <c r="C102" i="3"/>
  <c r="O101" i="3"/>
  <c r="N101" i="3"/>
  <c r="K101" i="3"/>
  <c r="C101" i="3"/>
  <c r="O100" i="3"/>
  <c r="N100" i="3"/>
  <c r="K100" i="3"/>
  <c r="C100" i="3"/>
  <c r="O99" i="3"/>
  <c r="N99" i="3"/>
  <c r="K99" i="3"/>
  <c r="C99" i="3"/>
  <c r="O98" i="3"/>
  <c r="N98" i="3"/>
  <c r="K98" i="3"/>
  <c r="C98" i="3"/>
  <c r="O97" i="3"/>
  <c r="N97" i="3"/>
  <c r="K97" i="3"/>
  <c r="C97" i="3"/>
  <c r="O96" i="3"/>
  <c r="N96" i="3"/>
  <c r="K96" i="3"/>
  <c r="C96" i="3"/>
  <c r="O95" i="3"/>
  <c r="N95" i="3"/>
  <c r="K95" i="3"/>
  <c r="C95" i="3"/>
  <c r="O94" i="3"/>
  <c r="N94" i="3"/>
  <c r="K94" i="3"/>
  <c r="C94" i="3"/>
  <c r="O93" i="3"/>
  <c r="N93" i="3"/>
  <c r="K93" i="3"/>
  <c r="C93" i="3"/>
  <c r="O92" i="3"/>
  <c r="N92" i="3"/>
  <c r="K92" i="3"/>
  <c r="C92" i="3"/>
  <c r="O91" i="3"/>
  <c r="N91" i="3"/>
  <c r="K91" i="3"/>
  <c r="C91" i="3"/>
  <c r="O90" i="3"/>
  <c r="N90" i="3"/>
  <c r="K90" i="3"/>
  <c r="C90" i="3"/>
  <c r="O89" i="3"/>
  <c r="N89" i="3"/>
  <c r="K89" i="3"/>
  <c r="C89" i="3"/>
  <c r="O88" i="3"/>
  <c r="N88" i="3"/>
  <c r="K88" i="3"/>
  <c r="C88" i="3"/>
  <c r="O87" i="3"/>
  <c r="N87" i="3"/>
  <c r="K87" i="3"/>
  <c r="C87" i="3"/>
  <c r="O86" i="3"/>
  <c r="N86" i="3"/>
  <c r="K86" i="3"/>
  <c r="C86" i="3"/>
  <c r="O85" i="3"/>
  <c r="N85" i="3"/>
  <c r="K85" i="3"/>
  <c r="C85" i="3"/>
  <c r="O84" i="3"/>
  <c r="N84" i="3"/>
  <c r="K84" i="3"/>
  <c r="C84" i="3"/>
  <c r="O83" i="3"/>
  <c r="N83" i="3"/>
  <c r="K83" i="3"/>
  <c r="C83" i="3"/>
  <c r="O82" i="3"/>
  <c r="N82" i="3"/>
  <c r="K82" i="3"/>
  <c r="C82" i="3"/>
  <c r="O81" i="3"/>
  <c r="N81" i="3"/>
  <c r="K81" i="3"/>
  <c r="C81" i="3"/>
  <c r="O80" i="3"/>
  <c r="N80" i="3"/>
  <c r="K80" i="3"/>
  <c r="C80" i="3"/>
  <c r="O79" i="3"/>
  <c r="N79" i="3"/>
  <c r="K79" i="3"/>
  <c r="C79" i="3"/>
  <c r="O78" i="3"/>
  <c r="N78" i="3"/>
  <c r="K78" i="3"/>
  <c r="C78" i="3"/>
  <c r="O77" i="3"/>
  <c r="N77" i="3"/>
  <c r="K77" i="3"/>
  <c r="C77" i="3"/>
  <c r="E6" i="3"/>
  <c r="O60" i="3"/>
  <c r="N60" i="3"/>
  <c r="O59" i="3"/>
  <c r="N59" i="3"/>
  <c r="O58" i="3"/>
  <c r="N58" i="3"/>
  <c r="O57" i="3"/>
  <c r="N57" i="3"/>
  <c r="O56" i="3"/>
  <c r="N56" i="3"/>
  <c r="O55" i="3"/>
  <c r="N55" i="3"/>
  <c r="O54" i="3"/>
  <c r="N54" i="3"/>
  <c r="O53" i="3"/>
  <c r="N53" i="3"/>
  <c r="O52" i="3"/>
  <c r="N52" i="3"/>
  <c r="O51" i="3"/>
  <c r="N51" i="3"/>
  <c r="O50" i="3"/>
  <c r="N50" i="3"/>
  <c r="O49" i="3"/>
  <c r="N49" i="3"/>
  <c r="O48" i="3"/>
  <c r="N48" i="3"/>
  <c r="O47" i="3"/>
  <c r="N47" i="3"/>
  <c r="O46" i="3"/>
  <c r="N46" i="3"/>
  <c r="O45" i="3"/>
  <c r="N45" i="3"/>
  <c r="O44" i="3"/>
  <c r="N44" i="3"/>
  <c r="O43" i="3"/>
  <c r="N43" i="3"/>
  <c r="O42" i="3"/>
  <c r="N42" i="3"/>
  <c r="O41" i="3"/>
  <c r="N41" i="3"/>
  <c r="O40" i="3"/>
  <c r="N40" i="3"/>
  <c r="O39" i="3"/>
  <c r="N39" i="3"/>
  <c r="O38" i="3"/>
  <c r="N38" i="3"/>
  <c r="O37" i="3"/>
  <c r="N37" i="3"/>
  <c r="O36" i="3"/>
  <c r="N36" i="3"/>
  <c r="O35" i="3"/>
  <c r="N35" i="3"/>
  <c r="O34" i="3"/>
  <c r="N34" i="3"/>
  <c r="O33" i="3"/>
  <c r="N33" i="3"/>
  <c r="O32" i="3"/>
  <c r="N32" i="3"/>
  <c r="O31" i="3"/>
  <c r="N31" i="3"/>
  <c r="O30" i="3"/>
  <c r="N30" i="3"/>
  <c r="O29" i="3"/>
  <c r="N29" i="3"/>
  <c r="O26" i="3"/>
  <c r="N26" i="3"/>
  <c r="O25" i="3"/>
  <c r="N25" i="3"/>
  <c r="O24" i="3"/>
  <c r="N24" i="3"/>
  <c r="O23" i="3"/>
  <c r="N23" i="3"/>
  <c r="O22" i="3"/>
  <c r="N22" i="3"/>
  <c r="O21" i="3"/>
  <c r="N21" i="3"/>
  <c r="O20" i="3"/>
  <c r="N20" i="3"/>
  <c r="O19" i="3"/>
  <c r="N19" i="3"/>
  <c r="O18" i="3"/>
  <c r="N18" i="3"/>
  <c r="O17" i="3"/>
  <c r="N17" i="3"/>
  <c r="O16" i="3"/>
  <c r="N16" i="3"/>
  <c r="O15" i="3"/>
  <c r="N15" i="3"/>
  <c r="O14" i="3"/>
  <c r="N14" i="3"/>
  <c r="O13" i="3"/>
  <c r="N13" i="3"/>
  <c r="O12" i="3"/>
  <c r="N12" i="3"/>
  <c r="O11" i="3"/>
  <c r="N11" i="3"/>
  <c r="E7" i="3"/>
</calcChain>
</file>

<file path=xl/sharedStrings.xml><?xml version="1.0" encoding="utf-8"?>
<sst xmlns="http://schemas.openxmlformats.org/spreadsheetml/2006/main" count="804" uniqueCount="226">
  <si>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</si>
  <si>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</si>
  <si>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</si>
  <si>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</si>
  <si>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</si>
  <si>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</si>
  <si>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</si>
  <si>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</si>
  <si>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</si>
  <si>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</si>
  <si>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</si>
  <si>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</si>
  <si>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</si>
  <si>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</si>
  <si>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</si>
  <si>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</si>
  <si>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</si>
  <si>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</si>
  <si>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</si>
  <si>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</si>
  <si>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</si>
  <si>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</si>
  <si>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</si>
  <si>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</si>
  <si>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</si>
  <si>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</si>
  <si>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</si>
  <si>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</si>
  <si>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</si>
  <si>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</si>
  <si>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T0001/O</t>
  </si>
  <si>
    <t>Other</t>
  </si>
  <si>
    <t>ALL</t>
  </si>
  <si>
    <t>Student</t>
  </si>
  <si>
    <t>Attend lecture</t>
  </si>
  <si>
    <t>Completed</t>
  </si>
  <si>
    <t>L01 – Introduction, S01 – The subject</t>
  </si>
  <si>
    <t>T0002/O</t>
  </si>
  <si>
    <t>L01 – Introduction, S02 – Working together</t>
  </si>
  <si>
    <t>T0003/O</t>
  </si>
  <si>
    <t>L01 – Introduction, S03 – Getting started</t>
  </si>
  <si>
    <t>T0004/O</t>
  </si>
  <si>
    <t>L01 – Introduction, S04 – The framework</t>
  </si>
  <si>
    <t>T0005/O</t>
  </si>
  <si>
    <t>Follow up</t>
  </si>
  <si>
    <t>T0006/O</t>
  </si>
  <si>
    <t>L02 – The data model, S01 – Models and queries</t>
  </si>
  <si>
    <t>T0007/O</t>
  </si>
  <si>
    <t>T0008/O</t>
  </si>
  <si>
    <t>L02 – The data model, S02 – Validation and population</t>
  </si>
  <si>
    <t>T0009/O</t>
  </si>
  <si>
    <t>T0010/O</t>
  </si>
  <si>
    <t>L02 – The data model, S03 – Advanced topics</t>
  </si>
  <si>
    <t>T0011/O</t>
  </si>
  <si>
    <t>T0012/O</t>
  </si>
  <si>
    <t>L03 – Implementing features, S01 – Display features</t>
  </si>
  <si>
    <t>T0013/O</t>
  </si>
  <si>
    <t>T0014/O</t>
  </si>
  <si>
    <t>L03 – Implementing features, S02 – Edition features</t>
  </si>
  <si>
    <t>T0015/O</t>
  </si>
  <si>
    <t>T0016/O</t>
  </si>
  <si>
    <t>L03 – Implementing features, S03 – Advanced topics</t>
  </si>
  <si>
    <t>T0017/O</t>
  </si>
  <si>
    <t>Planned</t>
  </si>
  <si>
    <t/>
  </si>
  <si>
    <t>Assessments</t>
  </si>
  <si>
    <t>T0018/O</t>
  </si>
  <si>
    <t>T0019/M</t>
  </si>
  <si>
    <t>Management</t>
  </si>
  <si>
    <t>Student 1</t>
  </si>
  <si>
    <t>Manager</t>
  </si>
  <si>
    <t>Make plans</t>
  </si>
  <si>
    <t>Prepare the chartering report and the project planning document.</t>
  </si>
  <si>
    <t>T0020/M</t>
  </si>
  <si>
    <t>Initialise repository</t>
  </si>
  <si>
    <t>Initialise the workgroup repository at GitHub.</t>
  </si>
  <si>
    <t>T0021/D</t>
  </si>
  <si>
    <t>Development</t>
  </si>
  <si>
    <t>Developer</t>
  </si>
  <si>
    <t>Customise the starter</t>
  </si>
  <si>
    <t>Instantiate the starter project "Hello-World" as "Acme-Starters-C".</t>
  </si>
  <si>
    <t>T0022/D</t>
  </si>
  <si>
    <t>Student 2</t>
  </si>
  <si>
    <t>Implement feature</t>
  </si>
  <si>
    <t>Implement the constraints sketched in file “Model-CG.ufx” (Part 1).</t>
  </si>
  <si>
    <t>T0023/D</t>
  </si>
  <si>
    <t>Student 3</t>
  </si>
  <si>
    <t>Implement the constraints sketched in file “Model-CG.ufx” (Part 2).</t>
  </si>
  <si>
    <t>T0024/D</t>
  </si>
  <si>
    <t>Student 4</t>
  </si>
  <si>
    <t>Implement the constraints sketched in file “Model-CG.ufx” (Part 3).</t>
  </si>
  <si>
    <t>T0025/D</t>
  </si>
  <si>
    <t>Student 5</t>
  </si>
  <si>
    <t>Design the corporate identity: colours, banners, and logos.</t>
  </si>
  <si>
    <t>T0026/QA/</t>
  </si>
  <si>
    <t>QA</t>
  </si>
  <si>
    <t>Tester</t>
  </si>
  <si>
    <t>Test performance formally</t>
  </si>
  <si>
    <t>Create two administrator accounts (administrator1/2) and verify access.</t>
  </si>
  <si>
    <t>T0027/D</t>
  </si>
  <si>
    <t>Implement information requirements for Inventions and Parts (Model-C01.uxf).</t>
  </si>
  <si>
    <t>T0028/D</t>
  </si>
  <si>
    <t>List and display published Inventions, navigate to their Parts and see the Inventor profile.</t>
  </si>
  <si>
    <t>T0029/D</t>
  </si>
  <si>
    <t>Acquire the role "inventor" as long as the principal does not have that role yet.</t>
  </si>
  <si>
    <t>T0030/D</t>
  </si>
  <si>
    <t>Update the corresponding "inventor" role profile.</t>
  </si>
  <si>
    <t>T0031/D</t>
  </si>
  <si>
    <t>Manage (CRUD) his/her Inventions and their corresponding Parts.</t>
  </si>
  <si>
    <t>T0032/D</t>
  </si>
  <si>
    <t>Publish an Invention, which prevents it and its Parts from being updated or deleted.</t>
  </si>
  <si>
    <t>T0033/D</t>
  </si>
  <si>
    <t>Internationalise the UI and data (Boolean, money, dates) to EN/ES for the Inventor module.</t>
  </si>
  <si>
    <t>T0034/QA/</t>
  </si>
  <si>
    <t>Test feature formally</t>
  </si>
  <si>
    <t>Produce sample data for 3 Inventors (inventor1/2/3) and their associated data.</t>
  </si>
  <si>
    <t>T0035/D</t>
  </si>
  <si>
    <t>Implement information requirements for Campaigns and Milestones (Model-C02.uxf).</t>
  </si>
  <si>
    <t>T0036/D</t>
  </si>
  <si>
    <t>List and display published Campaigns, navigate to Milestones and see the Spokesperson profile.</t>
  </si>
  <si>
    <t>T0037/D</t>
  </si>
  <si>
    <t>Acquire the role "spokesperson" as long as the principal does not have that role yet.</t>
  </si>
  <si>
    <t>T0038/D</t>
  </si>
  <si>
    <t>Update the corresponding "spokesperson" role profile.</t>
  </si>
  <si>
    <t>T0039/D</t>
  </si>
  <si>
    <t>Manage (CRUD) his/her Campaigns and their corresponding Milestones.</t>
  </si>
  <si>
    <t>T0040/D</t>
  </si>
  <si>
    <t>Publish a Campaign, which prevents it and its Milestones from being updated or deleted.</t>
  </si>
  <si>
    <t>T0041/D</t>
  </si>
  <si>
    <t>Internationalise the UI and data (Boolean, money, dates) to EN/ES for the Spokesperson module.</t>
  </si>
  <si>
    <t>T0042/QA/</t>
  </si>
  <si>
    <t>Produce sample data for 3 Spokespersons (spokesperson1/2/3).</t>
  </si>
  <si>
    <t>T0043/D</t>
  </si>
  <si>
    <t>Implement information requirements for Strategies and Tactics (Model-C03.uxf).</t>
  </si>
  <si>
    <t>T0044/D</t>
  </si>
  <si>
    <t>List and display published Strategies, navigate to Tactics and see the Fundraiser profile.</t>
  </si>
  <si>
    <t>T0045/D</t>
  </si>
  <si>
    <t>Acquire the role "fundraiser" as long as the principal does not have that role yet.</t>
  </si>
  <si>
    <t>T0046/D</t>
  </si>
  <si>
    <t>Update the corresponding "fundraiser" role profile.</t>
  </si>
  <si>
    <t>T0047/D</t>
  </si>
  <si>
    <t>Manage his/her Strategies and their corresponding Tactics (create, update, or delete).</t>
  </si>
  <si>
    <t>T0048/D</t>
  </si>
  <si>
    <t>Publish a Strategy, which prevents it and its Tactics from being updated or deleted.</t>
  </si>
  <si>
    <t>T0049/D</t>
  </si>
  <si>
    <t>Internationalise UI and data (Boolean, money, dates) to EN/ES for the Fundraiser module.</t>
  </si>
  <si>
    <t>T0050/QA/</t>
  </si>
  <si>
    <t>Produce sample data for 3 Fundraisers (fundraiser1/2/3) and their associated data.</t>
  </si>
  <si>
    <t>T0051/D</t>
  </si>
  <si>
    <t>Implement information requirements for Sponsorships and Donations (Model-C04.uxf).</t>
  </si>
  <si>
    <t>T0052/D</t>
  </si>
  <si>
    <t>List and display published Sponsorships, navigate to Donations and see the Sponsor profile.</t>
  </si>
  <si>
    <t>T0053/D</t>
  </si>
  <si>
    <t>Acquire the role "sponsor" as long as the principal does not have that role yet.</t>
  </si>
  <si>
    <t>T0054/D</t>
  </si>
  <si>
    <t>Update the corresponding "sponsor" role profile.</t>
  </si>
  <si>
    <t>T0055/D</t>
  </si>
  <si>
    <t>Manage his/her Sponsorships and their corresponding Donations (create, update, or delete).</t>
  </si>
  <si>
    <t>T0056/D</t>
  </si>
  <si>
    <t>Publish a Sponsorship, which prevents it and its Donations from being updated or deleted.</t>
  </si>
  <si>
    <t>T0057/D</t>
  </si>
  <si>
    <t>Internationalise UI and data (Boolean, money, dates) to EN/ES for the Sponsor module.</t>
  </si>
  <si>
    <t>T0058/QA/</t>
  </si>
  <si>
    <t>Produce sample data for 3 Sponsors (sponsor1/2/3) and their associated data.</t>
  </si>
  <si>
    <t>T0059/D</t>
  </si>
  <si>
    <t>Implement information requirements for Audit Reports and Sections (Model-C05.uxf).</t>
  </si>
  <si>
    <t>T0060/D</t>
  </si>
  <si>
    <t>List and display published Audit Reports, navigate to Sections and see the Auditor profile.</t>
  </si>
  <si>
    <t>T0061/D</t>
  </si>
  <si>
    <t>Acquire the role "auditor" as long as the principal does not have that role yet.</t>
  </si>
  <si>
    <t>T0062/D</t>
  </si>
  <si>
    <t>Update the corresponding "auditor" role profile.</t>
  </si>
  <si>
    <t>T0063/D</t>
  </si>
  <si>
    <t>Manage his/her Audit Reports and their corresponding Audit Sections.</t>
  </si>
  <si>
    <t>T0064/D</t>
  </si>
  <si>
    <t>Publish an Audit Report, which prevents it and its Sections from being updated or deleted.</t>
  </si>
  <si>
    <t>T0065/D</t>
  </si>
  <si>
    <t>Internationalise UI and data (Boolean, money, dates) to EN/ES for the Auditor module.</t>
  </si>
  <si>
    <t>T0066/QA/</t>
  </si>
  <si>
    <t>Produce sample data for 3 Auditors (auditor1/2/3) and their associated data.</t>
  </si>
  <si>
    <t>Deliverable D02</t>
  </si>
  <si>
    <t>L04 – Formal testing, S01 – Functional testing</t>
  </si>
  <si>
    <t>L04 – Formal testing, S02 – Performance testing</t>
  </si>
  <si>
    <t>L04 – Formal testing, S03 – Advanced topics</t>
  </si>
  <si>
    <t>Deliverable D03</t>
  </si>
  <si>
    <t>L05 – Miscellaneous topics, S01 – Workshop</t>
  </si>
  <si>
    <t>Workshop Presentations</t>
  </si>
  <si>
    <t>L05 – Miscellaneous topics, S02 – Advanced topics</t>
  </si>
  <si>
    <t>Internal data</t>
  </si>
  <si>
    <t>This sheet contains internal data that are used elsewhere to perform some checks and computations.  Please, do not modify it al all.</t>
  </si>
  <si>
    <t>Prospective assignees</t>
  </si>
  <si>
    <t>Statuses</t>
  </si>
  <si>
    <t>Ongoing</t>
  </si>
  <si>
    <t>Finished</t>
  </si>
  <si>
    <t>Moments</t>
  </si>
  <si>
    <t>2100/31/12  23:59:59</t>
  </si>
  <si>
    <t>Roles</t>
  </si>
  <si>
    <t>Cost</t>
  </si>
  <si>
    <t>Tasks…</t>
  </si>
  <si>
    <t>Study and train</t>
  </si>
  <si>
    <t>Attend work meeting</t>
  </si>
  <si>
    <t>Other (Describe)</t>
  </si>
  <si>
    <t>Make re-plannings</t>
  </si>
  <si>
    <t>Supervise task</t>
  </si>
  <si>
    <t>Write report</t>
  </si>
  <si>
    <t>Analyst</t>
  </si>
  <si>
    <t>Elicit requirements</t>
  </si>
  <si>
    <t>Define features</t>
  </si>
  <si>
    <t>Create domain model</t>
  </si>
  <si>
    <t>Create dev. config.</t>
  </si>
  <si>
    <t>Test feature informally</t>
  </si>
  <si>
    <t>Check deliverable</t>
  </si>
  <si>
    <t>Check task</t>
  </si>
  <si>
    <t>Operator</t>
  </si>
  <si>
    <t>Prepare dep. platf.</t>
  </si>
  <si>
    <t>Package deliverable</t>
  </si>
  <si>
    <t>Upload deliverable</t>
  </si>
  <si>
    <t>Deploy application</t>
  </si>
  <si>
    <t>Keep application running</t>
  </si>
  <si>
    <t>Task types</t>
  </si>
  <si>
    <t>Key</t>
  </si>
  <si>
    <t>M</t>
  </si>
  <si>
    <t>D</t>
  </si>
  <si>
    <t>Revision</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</si>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</sst>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4"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s>
  <fills count="11">
    <fill>
      <patternFill patternType="none"/>
    </fill>
    <fill>
      <patternFill patternType="gray125"/>
    </fill>
    <fill>
      <patternFill patternType="solid">
        <fgColor theme="1"/>
      </patternFill>
    </fill>
    <fill>
      <patternFill patternType="solid">
        <fgColor theme="3" tint="0.49995422223578601"/>
        <bgColor indexed="65"/>
      </patternFill>
    </fill>
    <fill>
      <patternFill patternType="solid">
        <fgColor rgb="FFFFFF00"/>
      </patternFill>
    </fill>
    <fill>
      <patternFill patternType="solid">
        <fgColor theme="0" tint="-0.249977111117893"/>
        <bgColor indexed="65"/>
      </patternFill>
    </fill>
    <fill>
      <patternFill patternType="solid">
        <fgColor theme="7" tint="0.79995117038483843"/>
        <bgColor indexed="65"/>
      </patternFill>
    </fill>
    <fill>
      <patternFill patternType="solid">
        <fgColor theme="2" tint="-9.9978637043366805E-2"/>
        <bgColor indexed="65"/>
      </patternFill>
    </fill>
    <fill>
      <patternFill patternType="solid">
        <fgColor theme="0" tint="-0.14999847407452621"/>
        <bgColor indexed="65"/>
      </patternFill>
    </fill>
    <fill>
      <patternFill patternType="solid">
        <fgColor rgb="FFFF0000"/>
      </patternFill>
    </fill>
    <fill>
      <patternFill patternType="solid">
        <fgColor theme="4" tint="0.79995117038483843"/>
        <bgColor indexed="65"/>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58">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0" fillId="7" borderId="0" xfId="0" applyFill="1" applyAlignment="1">
      <alignment horizontal="left" vertical="center" wrapText="1"/>
    </xf>
    <xf numFmtId="0" fontId="0" fillId="0" borderId="0" xfId="0" applyAlignment="1">
      <alignment vertical="center"/>
    </xf>
    <xf numFmtId="0" fontId="1" fillId="2" borderId="0" xfId="0" applyFont="1" applyFill="1" applyAlignment="1">
      <alignment horizontal="center" vertical="center"/>
    </xf>
    <xf numFmtId="0" fontId="0" fillId="0" borderId="0" xfId="0" applyAlignment="1">
      <alignment horizontal="left" vertical="center"/>
    </xf>
    <xf numFmtId="0" fontId="0" fillId="0" borderId="0" xfId="0"/>
    <xf numFmtId="0" fontId="3" fillId="5" borderId="0" xfId="0" applyFont="1" applyFill="1" applyAlignment="1">
      <alignment horizontal="center"/>
    </xf>
    <xf numFmtId="0" fontId="3" fillId="5" borderId="0" xfId="0" applyFont="1" applyFill="1" applyAlignment="1">
      <alignment horizontal="center" vertical="center" wrapText="1"/>
    </xf>
  </cellXfs>
  <cellStyles count="1">
    <cellStyle name="Normal" xfId="0" builtinId="0"/>
  </cellStyles>
  <dxfs count="6">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2"/>
  <sheetViews>
    <sheetView workbookViewId="0"/>
  </sheetViews>
  <sheetFormatPr defaultColWidth="9.1796875" defaultRowHeight="14.5" x14ac:dyDescent="0.35"/>
  <cols>
    <col min="1" max="1" width="9.1796875" style="1" customWidth="1"/>
    <col min="2" max="16384" width="9.1796875" style="1"/>
  </cols>
  <sheetData>
    <row r="2" spans="2:10" ht="9.4" customHeight="1" x14ac:dyDescent="0.35">
      <c r="B2" s="53" t="s">
        <v>0</v>
      </c>
      <c r="C2" s="52"/>
      <c r="D2" s="52"/>
      <c r="E2" s="52"/>
      <c r="F2" s="52"/>
      <c r="G2" s="52"/>
      <c r="H2" s="52"/>
      <c r="I2" s="52"/>
      <c r="J2" s="52"/>
    </row>
    <row r="4" spans="2:10" x14ac:dyDescent="0.35">
      <c r="B4" s="51" t="s">
        <v>1</v>
      </c>
      <c r="C4" s="52"/>
      <c r="D4" s="52"/>
      <c r="E4" s="52"/>
      <c r="F4" s="52"/>
      <c r="G4" s="52"/>
      <c r="H4" s="52"/>
      <c r="I4" s="52"/>
      <c r="J4" s="52"/>
    </row>
    <row r="5" spans="2:10" x14ac:dyDescent="0.35">
      <c r="B5" s="52"/>
      <c r="C5" s="52"/>
      <c r="D5" s="52"/>
      <c r="E5" s="52"/>
      <c r="F5" s="52"/>
      <c r="G5" s="52"/>
      <c r="H5" s="52"/>
      <c r="I5" s="52"/>
      <c r="J5" s="52"/>
    </row>
    <row r="6" spans="2:10" x14ac:dyDescent="0.35">
      <c r="B6" s="52"/>
      <c r="C6" s="52"/>
      <c r="D6" s="52"/>
      <c r="E6" s="52"/>
      <c r="F6" s="52"/>
      <c r="G6" s="52"/>
      <c r="H6" s="52"/>
      <c r="I6" s="52"/>
      <c r="J6" s="52"/>
    </row>
    <row r="7" spans="2:10" x14ac:dyDescent="0.35">
      <c r="B7" s="52"/>
      <c r="C7" s="52"/>
      <c r="D7" s="52"/>
      <c r="E7" s="52"/>
      <c r="F7" s="52"/>
      <c r="G7" s="52"/>
      <c r="H7" s="52"/>
      <c r="I7" s="52"/>
      <c r="J7" s="52"/>
    </row>
    <row r="8" spans="2:10" x14ac:dyDescent="0.35">
      <c r="B8" s="52"/>
      <c r="C8" s="52"/>
      <c r="D8" s="52"/>
      <c r="E8" s="52"/>
      <c r="F8" s="52"/>
      <c r="G8" s="52"/>
      <c r="H8" s="52"/>
      <c r="I8" s="52"/>
      <c r="J8" s="52"/>
    </row>
    <row r="9" spans="2:10" x14ac:dyDescent="0.35">
      <c r="B9" s="52"/>
      <c r="C9" s="52"/>
      <c r="D9" s="52"/>
      <c r="E9" s="52"/>
      <c r="F9" s="52"/>
      <c r="G9" s="52"/>
      <c r="H9" s="52"/>
      <c r="I9" s="52"/>
      <c r="J9" s="52"/>
    </row>
    <row r="10" spans="2:10" x14ac:dyDescent="0.35">
      <c r="B10" s="52"/>
      <c r="C10" s="52"/>
      <c r="D10" s="52"/>
      <c r="E10" s="52"/>
      <c r="F10" s="52"/>
      <c r="G10" s="52"/>
      <c r="H10" s="52"/>
      <c r="I10" s="52"/>
      <c r="J10" s="52"/>
    </row>
    <row r="11" spans="2:10" x14ac:dyDescent="0.35">
      <c r="B11" s="52"/>
      <c r="C11" s="52"/>
      <c r="D11" s="52"/>
      <c r="E11" s="52"/>
      <c r="F11" s="52"/>
      <c r="G11" s="52"/>
      <c r="H11" s="52"/>
      <c r="I11" s="52"/>
      <c r="J11" s="52"/>
    </row>
    <row r="12" spans="2:10" x14ac:dyDescent="0.35">
      <c r="B12" s="52"/>
      <c r="C12" s="52"/>
      <c r="D12" s="52"/>
      <c r="E12" s="52"/>
      <c r="F12" s="52"/>
      <c r="G12" s="52"/>
      <c r="H12" s="52"/>
      <c r="I12" s="52"/>
      <c r="J12" s="52"/>
    </row>
  </sheetData>
  <mergeCells count="2">
    <mergeCell ref="B4:J12"/>
    <mergeCell ref="B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12"/>
  <sheetViews>
    <sheetView workbookViewId="0"/>
  </sheetViews>
  <sheetFormatPr defaultColWidth="8.7265625" defaultRowHeight="14.5" x14ac:dyDescent="0.35"/>
  <sheetData>
    <row r="2" spans="2:10" ht="9.4" customHeight="1" x14ac:dyDescent="0.35">
      <c r="B2" s="53" t="s">
        <v>2</v>
      </c>
      <c r="C2" s="55"/>
      <c r="D2" s="55"/>
      <c r="E2" s="55"/>
      <c r="F2" s="55"/>
      <c r="G2" s="55"/>
      <c r="H2" s="55"/>
      <c r="I2" s="55"/>
      <c r="J2" s="55"/>
    </row>
    <row r="3" spans="2:10" ht="9.4" customHeight="1" x14ac:dyDescent="0.35">
      <c r="B3" s="2"/>
      <c r="C3" s="1"/>
      <c r="D3" s="1"/>
      <c r="E3" s="1"/>
      <c r="F3" s="1"/>
      <c r="G3" s="1"/>
      <c r="H3" s="1"/>
      <c r="I3" s="1"/>
      <c r="J3" s="1"/>
    </row>
    <row r="4" spans="2:10" ht="10" customHeight="1" x14ac:dyDescent="0.35">
      <c r="B4" s="51" t="s">
        <v>3</v>
      </c>
      <c r="C4" s="55"/>
      <c r="D4" s="55"/>
      <c r="E4" s="55"/>
      <c r="F4" s="55"/>
      <c r="G4" s="55"/>
      <c r="H4" s="55"/>
      <c r="I4" s="55"/>
      <c r="J4" s="55"/>
    </row>
    <row r="5" spans="2:10" x14ac:dyDescent="0.35">
      <c r="B5" s="55"/>
      <c r="C5" s="55"/>
      <c r="D5" s="55"/>
      <c r="E5" s="55"/>
      <c r="F5" s="55"/>
      <c r="G5" s="55"/>
      <c r="H5" s="55"/>
      <c r="I5" s="55"/>
      <c r="J5" s="55"/>
    </row>
    <row r="6" spans="2:10" x14ac:dyDescent="0.35">
      <c r="B6" s="55"/>
      <c r="C6" s="55"/>
      <c r="D6" s="55"/>
      <c r="E6" s="55"/>
      <c r="F6" s="55"/>
      <c r="G6" s="55"/>
      <c r="H6" s="55"/>
      <c r="I6" s="55"/>
      <c r="J6" s="55"/>
    </row>
    <row r="7" spans="2:10" x14ac:dyDescent="0.35">
      <c r="B7" s="1"/>
      <c r="C7" s="1"/>
      <c r="D7" s="1"/>
      <c r="E7" s="1"/>
      <c r="F7" s="1"/>
      <c r="G7" s="1"/>
      <c r="H7" s="1"/>
      <c r="I7" s="1"/>
      <c r="J7" s="1"/>
    </row>
    <row r="8" spans="2:10" x14ac:dyDescent="0.35">
      <c r="B8" s="38"/>
      <c r="C8" s="1" t="s">
        <v>4</v>
      </c>
      <c r="D8" s="1"/>
      <c r="E8" s="1"/>
      <c r="F8" s="1"/>
      <c r="G8" s="1"/>
      <c r="H8" s="1"/>
      <c r="I8" s="1"/>
      <c r="J8" s="1"/>
    </row>
    <row r="9" spans="2:10" x14ac:dyDescent="0.35">
      <c r="B9" s="4"/>
      <c r="C9" s="54" t="s">
        <v>5</v>
      </c>
      <c r="D9" s="55"/>
      <c r="E9" s="55"/>
      <c r="F9" s="55"/>
      <c r="G9" s="55"/>
      <c r="H9" s="55"/>
      <c r="I9" s="55"/>
      <c r="J9" s="55"/>
    </row>
    <row r="10" spans="2:10" x14ac:dyDescent="0.35">
      <c r="B10" s="47"/>
      <c r="C10" s="54" t="s">
        <v>6</v>
      </c>
      <c r="D10" s="55"/>
      <c r="E10" s="55"/>
      <c r="F10" s="55"/>
      <c r="G10" s="55"/>
      <c r="H10" s="55"/>
      <c r="I10" s="55"/>
      <c r="J10" s="55"/>
    </row>
    <row r="11" spans="2:10" x14ac:dyDescent="0.35">
      <c r="B11" s="48"/>
      <c r="C11" s="46" t="s">
        <v>7</v>
      </c>
      <c r="D11" s="46"/>
      <c r="E11" s="46"/>
      <c r="F11" s="46"/>
      <c r="G11" s="46"/>
      <c r="H11" s="46"/>
      <c r="I11" s="46"/>
      <c r="J11" s="46"/>
    </row>
    <row r="12" spans="2:10" x14ac:dyDescent="0.35">
      <c r="B12" s="3"/>
      <c r="C12" s="54" t="s">
        <v>8</v>
      </c>
      <c r="D12" s="55"/>
      <c r="E12" s="55"/>
      <c r="F12" s="55"/>
      <c r="G12" s="55"/>
      <c r="H12" s="55"/>
      <c r="I12" s="55"/>
      <c r="J12" s="55"/>
    </row>
  </sheetData>
  <mergeCells count="5">
    <mergeCell ref="C12:J12"/>
    <mergeCell ref="C10:J10"/>
    <mergeCell ref="B4:J6"/>
    <mergeCell ref="B2:J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110"/>
  <sheetViews>
    <sheetView tabSelected="1" workbookViewId="0">
      <selection activeCell="O63" sqref="O63"/>
    </sheetView>
  </sheetViews>
  <sheetFormatPr defaultColWidth="8.7265625" defaultRowHeight="14.5" x14ac:dyDescent="0.35"/>
  <cols>
    <col min="3" max="15" width="18.81640625" customWidth="1"/>
    <col min="16" max="16" width="64.54296875" customWidth="1"/>
  </cols>
  <sheetData>
    <row r="2" spans="2:16" ht="9.4" customHeight="1" x14ac:dyDescent="0.35">
      <c r="C2" s="53" t="s">
        <v>9</v>
      </c>
      <c r="D2" s="55"/>
      <c r="E2" s="55"/>
      <c r="F2" s="55"/>
      <c r="G2" s="55"/>
      <c r="H2" s="55"/>
      <c r="I2" s="55"/>
      <c r="J2" s="55"/>
      <c r="K2" s="55"/>
      <c r="L2" s="55"/>
      <c r="M2" s="55"/>
      <c r="N2" s="55"/>
      <c r="O2" s="55"/>
      <c r="P2" s="55"/>
    </row>
    <row r="4" spans="2:16" ht="10" customHeight="1" x14ac:dyDescent="0.35">
      <c r="C4" s="51" t="s">
        <v>10</v>
      </c>
      <c r="D4" s="55"/>
      <c r="E4" s="55"/>
      <c r="F4" s="55"/>
      <c r="G4" s="55"/>
      <c r="H4" s="55"/>
      <c r="I4" s="55"/>
      <c r="J4" s="55"/>
      <c r="K4" s="55"/>
      <c r="L4" s="55"/>
      <c r="M4" s="55"/>
      <c r="N4" s="55"/>
      <c r="O4" s="55"/>
      <c r="P4" s="55"/>
    </row>
    <row r="5" spans="2:16" x14ac:dyDescent="0.35">
      <c r="C5" s="5"/>
      <c r="D5" s="5"/>
      <c r="E5" s="5"/>
      <c r="F5" s="5"/>
      <c r="G5" s="5"/>
      <c r="H5" s="5"/>
      <c r="I5" s="5"/>
      <c r="J5" s="5"/>
      <c r="K5" s="5"/>
      <c r="L5" s="5"/>
      <c r="M5" s="5"/>
      <c r="N5" s="5"/>
      <c r="O5" s="5"/>
      <c r="P5" s="5"/>
    </row>
    <row r="6" spans="2:16" ht="9.4" customHeight="1" x14ac:dyDescent="0.35">
      <c r="C6" s="57" t="s">
        <v>11</v>
      </c>
      <c r="D6" s="10" t="s">
        <v>12</v>
      </c>
      <c r="E6" s="34">
        <f>SUM(N11:N110)</f>
        <v>3580</v>
      </c>
      <c r="F6" s="5"/>
      <c r="G6" s="5"/>
      <c r="H6" s="5"/>
      <c r="I6" s="5"/>
      <c r="J6" s="5"/>
      <c r="K6" s="5"/>
      <c r="L6" s="5"/>
      <c r="M6" s="5"/>
      <c r="N6" s="5"/>
      <c r="O6" s="5"/>
      <c r="P6" s="5"/>
    </row>
    <row r="7" spans="2:16" ht="9.4" customHeight="1" x14ac:dyDescent="0.35">
      <c r="C7" s="55"/>
      <c r="D7" s="11" t="s">
        <v>13</v>
      </c>
      <c r="E7" s="35">
        <f>SUM(O11:O110)</f>
        <v>4015</v>
      </c>
      <c r="J7" s="36"/>
    </row>
    <row r="9" spans="2:16" ht="18.5" customHeight="1" x14ac:dyDescent="0.35">
      <c r="B9" s="6"/>
      <c r="C9" s="7"/>
      <c r="D9" s="7"/>
      <c r="E9" s="7"/>
      <c r="F9" s="7"/>
      <c r="G9" s="7"/>
      <c r="H9" s="7"/>
      <c r="I9" s="56" t="s">
        <v>14</v>
      </c>
      <c r="J9" s="55"/>
      <c r="K9" s="7"/>
      <c r="L9" s="56" t="s">
        <v>15</v>
      </c>
      <c r="M9" s="55"/>
      <c r="N9" s="56" t="s">
        <v>16</v>
      </c>
      <c r="O9" s="55"/>
      <c r="P9" s="7"/>
    </row>
    <row r="10" spans="2:16" ht="20" customHeight="1" x14ac:dyDescent="0.35">
      <c r="B10" s="8" t="s">
        <v>17</v>
      </c>
      <c r="C10" s="8" t="s">
        <v>18</v>
      </c>
      <c r="D10" s="9" t="s">
        <v>19</v>
      </c>
      <c r="E10" s="9" t="s">
        <v>20</v>
      </c>
      <c r="F10" s="9" t="s">
        <v>21</v>
      </c>
      <c r="G10" s="9" t="s">
        <v>22</v>
      </c>
      <c r="H10" s="8" t="s">
        <v>23</v>
      </c>
      <c r="I10" s="37" t="s">
        <v>24</v>
      </c>
      <c r="J10" s="37" t="s">
        <v>25</v>
      </c>
      <c r="K10" s="9" t="s">
        <v>26</v>
      </c>
      <c r="L10" s="37" t="s">
        <v>27</v>
      </c>
      <c r="M10" s="37" t="s">
        <v>28</v>
      </c>
      <c r="N10" s="37" t="s">
        <v>27</v>
      </c>
      <c r="O10" s="37" t="s">
        <v>28</v>
      </c>
      <c r="P10" s="9" t="s">
        <v>29</v>
      </c>
    </row>
    <row r="11" spans="2:16" ht="9.4" customHeight="1" x14ac:dyDescent="0.35">
      <c r="B11" s="39">
        <v>1</v>
      </c>
      <c r="C11" s="40" t="s">
        <v>30</v>
      </c>
      <c r="D11" s="42" t="s">
        <v>31</v>
      </c>
      <c r="E11" s="41" t="s">
        <v>32</v>
      </c>
      <c r="F11" s="41" t="s">
        <v>33</v>
      </c>
      <c r="G11" s="42" t="s">
        <v>34</v>
      </c>
      <c r="H11" s="41"/>
      <c r="I11" s="44">
        <v>46048.444444444453</v>
      </c>
      <c r="J11" s="44">
        <v>46048.520833333343</v>
      </c>
      <c r="K11" s="43" t="s">
        <v>35</v>
      </c>
      <c r="L11" s="45">
        <v>2</v>
      </c>
      <c r="M11" s="45">
        <v>1.83</v>
      </c>
      <c r="N11" s="43">
        <f>IF(ISBLANK(L11), "", L11*VLOOKUP($F11,Internal!$B$26:$C$32,2,FALSE))</f>
        <v>0</v>
      </c>
      <c r="O11" s="43">
        <f>IF(ISBLANK(M11), "", M11*VLOOKUP($F11,Internal!$B$26:$C$32,2,FALSE))</f>
        <v>0</v>
      </c>
      <c r="P11" s="42" t="s">
        <v>36</v>
      </c>
    </row>
    <row r="12" spans="2:16" ht="9.4" customHeight="1" x14ac:dyDescent="0.35">
      <c r="B12" s="39">
        <v>2</v>
      </c>
      <c r="C12" s="40" t="s">
        <v>37</v>
      </c>
      <c r="D12" s="42" t="s">
        <v>31</v>
      </c>
      <c r="E12" s="41" t="s">
        <v>32</v>
      </c>
      <c r="F12" s="41" t="s">
        <v>33</v>
      </c>
      <c r="G12" s="42" t="s">
        <v>34</v>
      </c>
      <c r="H12" s="41" t="s">
        <v>30</v>
      </c>
      <c r="I12" s="44">
        <v>46051.354166666657</v>
      </c>
      <c r="J12" s="44">
        <v>46051.444444444453</v>
      </c>
      <c r="K12" s="43" t="s">
        <v>35</v>
      </c>
      <c r="L12" s="45">
        <v>2</v>
      </c>
      <c r="M12" s="45">
        <v>2.17</v>
      </c>
      <c r="N12" s="43">
        <f>IF(ISBLANK(L12), "", L12*VLOOKUP($F12,Internal!$B$26:$C$32,2,FALSE))</f>
        <v>0</v>
      </c>
      <c r="O12" s="43">
        <f>IF(ISBLANK(M12), "", M12*VLOOKUP($F12,Internal!$B$26:$C$32,2,FALSE))</f>
        <v>0</v>
      </c>
      <c r="P12" s="42" t="s">
        <v>38</v>
      </c>
    </row>
    <row r="13" spans="2:16" ht="9.4" customHeight="1" x14ac:dyDescent="0.35">
      <c r="B13" s="39">
        <v>3</v>
      </c>
      <c r="C13" s="40" t="s">
        <v>39</v>
      </c>
      <c r="D13" s="42" t="s">
        <v>31</v>
      </c>
      <c r="E13" s="41" t="s">
        <v>32</v>
      </c>
      <c r="F13" s="41" t="s">
        <v>33</v>
      </c>
      <c r="G13" s="42" t="s">
        <v>34</v>
      </c>
      <c r="H13" s="41" t="s">
        <v>37</v>
      </c>
      <c r="I13" s="44">
        <v>46055.444444444453</v>
      </c>
      <c r="J13" s="44">
        <v>46055.520833333343</v>
      </c>
      <c r="K13" s="43" t="s">
        <v>35</v>
      </c>
      <c r="L13" s="45">
        <v>2</v>
      </c>
      <c r="M13" s="45">
        <v>1.83</v>
      </c>
      <c r="N13" s="43">
        <f>IF(ISBLANK(L13), "", L13*VLOOKUP($F13,Internal!$B$26:$C$32,2,FALSE))</f>
        <v>0</v>
      </c>
      <c r="O13" s="43">
        <f>IF(ISBLANK(M13), "", M13*VLOOKUP($F13,Internal!$B$26:$C$32,2,FALSE))</f>
        <v>0</v>
      </c>
      <c r="P13" s="42" t="s">
        <v>40</v>
      </c>
    </row>
    <row r="14" spans="2:16" ht="9.4" customHeight="1" x14ac:dyDescent="0.35">
      <c r="B14" s="39">
        <v>4</v>
      </c>
      <c r="C14" s="40" t="s">
        <v>41</v>
      </c>
      <c r="D14" s="42" t="s">
        <v>31</v>
      </c>
      <c r="E14" s="41" t="s">
        <v>32</v>
      </c>
      <c r="F14" s="41" t="s">
        <v>33</v>
      </c>
      <c r="G14" s="42" t="s">
        <v>34</v>
      </c>
      <c r="H14" s="41" t="s">
        <v>39</v>
      </c>
      <c r="I14" s="44">
        <v>46058.354166666657</v>
      </c>
      <c r="J14" s="44">
        <v>46058.444444444453</v>
      </c>
      <c r="K14" s="43" t="s">
        <v>35</v>
      </c>
      <c r="L14" s="45">
        <v>2</v>
      </c>
      <c r="M14" s="45">
        <v>2.17</v>
      </c>
      <c r="N14" s="43">
        <f>IF(ISBLANK(L14), "", L14*VLOOKUP($F14,Internal!$B$26:$C$32,2,FALSE))</f>
        <v>0</v>
      </c>
      <c r="O14" s="43">
        <f>IF(ISBLANK(M14), "", M14*VLOOKUP($F14,Internal!$B$26:$C$32,2,FALSE))</f>
        <v>0</v>
      </c>
      <c r="P14" s="42" t="s">
        <v>42</v>
      </c>
    </row>
    <row r="15" spans="2:16" ht="9.4" customHeight="1" x14ac:dyDescent="0.35">
      <c r="B15" s="39">
        <v>5</v>
      </c>
      <c r="C15" s="40" t="s">
        <v>43</v>
      </c>
      <c r="D15" s="42" t="s">
        <v>31</v>
      </c>
      <c r="E15" s="41" t="s">
        <v>32</v>
      </c>
      <c r="F15" s="41" t="s">
        <v>33</v>
      </c>
      <c r="G15" s="42" t="s">
        <v>34</v>
      </c>
      <c r="H15" s="41" t="s">
        <v>41</v>
      </c>
      <c r="I15" s="44">
        <v>46062.444444444453</v>
      </c>
      <c r="J15" s="44">
        <v>46062.520833333343</v>
      </c>
      <c r="K15" s="43" t="s">
        <v>35</v>
      </c>
      <c r="L15" s="45">
        <v>2</v>
      </c>
      <c r="M15" s="45">
        <v>1.83</v>
      </c>
      <c r="N15" s="43">
        <f>IF(ISBLANK(L15), "", L15*VLOOKUP($F15,Internal!$B$26:$C$32,2,FALSE))</f>
        <v>0</v>
      </c>
      <c r="O15" s="43">
        <f>IF(ISBLANK(M15), "", M15*VLOOKUP($F15,Internal!$B$26:$C$32,2,FALSE))</f>
        <v>0</v>
      </c>
      <c r="P15" s="42" t="s">
        <v>44</v>
      </c>
    </row>
    <row r="16" spans="2:16" ht="9.4" customHeight="1" x14ac:dyDescent="0.35">
      <c r="B16" s="39">
        <v>6</v>
      </c>
      <c r="C16" s="40" t="s">
        <v>45</v>
      </c>
      <c r="D16" s="42" t="s">
        <v>31</v>
      </c>
      <c r="E16" s="41" t="s">
        <v>32</v>
      </c>
      <c r="F16" s="41" t="s">
        <v>33</v>
      </c>
      <c r="G16" s="42" t="s">
        <v>34</v>
      </c>
      <c r="H16" s="41" t="s">
        <v>43</v>
      </c>
      <c r="I16" s="44">
        <v>46065.354166666657</v>
      </c>
      <c r="J16" s="44">
        <v>46065.444444444453</v>
      </c>
      <c r="K16" s="43" t="s">
        <v>35</v>
      </c>
      <c r="L16" s="45">
        <v>2</v>
      </c>
      <c r="M16" s="45">
        <v>2.17</v>
      </c>
      <c r="N16" s="43">
        <f>IF(ISBLANK(L16), "", L16*VLOOKUP($F16,Internal!$B$26:$C$32,2,FALSE))</f>
        <v>0</v>
      </c>
      <c r="O16" s="43">
        <f>IF(ISBLANK(M16), "", M16*VLOOKUP($F16,Internal!$B$26:$C$32,2,FALSE))</f>
        <v>0</v>
      </c>
      <c r="P16" s="42" t="s">
        <v>46</v>
      </c>
    </row>
    <row r="17" spans="2:16" ht="9.4" customHeight="1" x14ac:dyDescent="0.35">
      <c r="B17" s="39">
        <v>7</v>
      </c>
      <c r="C17" s="40" t="s">
        <v>47</v>
      </c>
      <c r="D17" s="42" t="s">
        <v>31</v>
      </c>
      <c r="E17" s="41" t="s">
        <v>32</v>
      </c>
      <c r="F17" s="41" t="s">
        <v>33</v>
      </c>
      <c r="G17" s="42" t="s">
        <v>34</v>
      </c>
      <c r="H17" s="41" t="s">
        <v>45</v>
      </c>
      <c r="I17" s="44">
        <v>46069.444444444453</v>
      </c>
      <c r="J17" s="44">
        <v>46069.520833333343</v>
      </c>
      <c r="K17" s="43" t="s">
        <v>35</v>
      </c>
      <c r="L17" s="45">
        <v>2</v>
      </c>
      <c r="M17" s="45">
        <v>1.83</v>
      </c>
      <c r="N17" s="43">
        <f>IF(ISBLANK(L17), "", L17*VLOOKUP($F17,Internal!$B$26:$C$32,2,FALSE))</f>
        <v>0</v>
      </c>
      <c r="O17" s="43">
        <f>IF(ISBLANK(M17), "", M17*VLOOKUP($F17,Internal!$B$26:$C$32,2,FALSE))</f>
        <v>0</v>
      </c>
      <c r="P17" s="42" t="s">
        <v>44</v>
      </c>
    </row>
    <row r="18" spans="2:16" ht="9.4" customHeight="1" x14ac:dyDescent="0.35">
      <c r="B18" s="39">
        <v>8</v>
      </c>
      <c r="C18" s="40" t="s">
        <v>48</v>
      </c>
      <c r="D18" s="42" t="s">
        <v>31</v>
      </c>
      <c r="E18" s="41" t="s">
        <v>32</v>
      </c>
      <c r="F18" s="41" t="s">
        <v>33</v>
      </c>
      <c r="G18" s="42" t="s">
        <v>34</v>
      </c>
      <c r="H18" s="41" t="s">
        <v>47</v>
      </c>
      <c r="I18" s="44">
        <v>46072.354166666657</v>
      </c>
      <c r="J18" s="44">
        <v>46072.444444444453</v>
      </c>
      <c r="K18" s="43" t="s">
        <v>35</v>
      </c>
      <c r="L18" s="45">
        <v>2</v>
      </c>
      <c r="M18" s="45">
        <v>2.17</v>
      </c>
      <c r="N18" s="43">
        <f>IF(ISBLANK(L18), "", L18*VLOOKUP($F18,Internal!$B$26:$C$32,2,FALSE))</f>
        <v>0</v>
      </c>
      <c r="O18" s="43">
        <f>IF(ISBLANK(M18), "", M18*VLOOKUP($F18,Internal!$B$26:$C$32,2,FALSE))</f>
        <v>0</v>
      </c>
      <c r="P18" s="42" t="s">
        <v>49</v>
      </c>
    </row>
    <row r="19" spans="2:16" ht="9.4" customHeight="1" x14ac:dyDescent="0.35">
      <c r="B19" s="39">
        <v>9</v>
      </c>
      <c r="C19" s="40" t="s">
        <v>50</v>
      </c>
      <c r="D19" s="42" t="s">
        <v>31</v>
      </c>
      <c r="E19" s="41" t="s">
        <v>32</v>
      </c>
      <c r="F19" s="41" t="s">
        <v>33</v>
      </c>
      <c r="G19" s="42" t="s">
        <v>34</v>
      </c>
      <c r="H19" s="41" t="s">
        <v>48</v>
      </c>
      <c r="I19" s="44">
        <v>46076.444444444453</v>
      </c>
      <c r="J19" s="44">
        <v>46076.520833333343</v>
      </c>
      <c r="K19" s="43" t="s">
        <v>35</v>
      </c>
      <c r="L19" s="45">
        <v>2</v>
      </c>
      <c r="M19" s="45">
        <v>1.83</v>
      </c>
      <c r="N19" s="43">
        <f>IF(ISBLANK(L19), "", L19*VLOOKUP($F19,Internal!$B$26:$C$32,2,FALSE))</f>
        <v>0</v>
      </c>
      <c r="O19" s="43">
        <f>IF(ISBLANK(M19), "", M19*VLOOKUP($F19,Internal!$B$26:$C$32,2,FALSE))</f>
        <v>0</v>
      </c>
      <c r="P19" s="42" t="s">
        <v>44</v>
      </c>
    </row>
    <row r="20" spans="2:16" ht="9.4" customHeight="1" x14ac:dyDescent="0.35">
      <c r="B20" s="39">
        <v>10</v>
      </c>
      <c r="C20" s="40" t="s">
        <v>51</v>
      </c>
      <c r="D20" s="42" t="s">
        <v>31</v>
      </c>
      <c r="E20" s="41" t="s">
        <v>32</v>
      </c>
      <c r="F20" s="41" t="s">
        <v>33</v>
      </c>
      <c r="G20" s="42" t="s">
        <v>34</v>
      </c>
      <c r="H20" s="41" t="s">
        <v>50</v>
      </c>
      <c r="I20" s="44">
        <v>46079.354166666657</v>
      </c>
      <c r="J20" s="44">
        <v>46079.444444444453</v>
      </c>
      <c r="K20" s="43" t="s">
        <v>35</v>
      </c>
      <c r="L20" s="45">
        <v>2</v>
      </c>
      <c r="M20" s="45">
        <v>2.17</v>
      </c>
      <c r="N20" s="43">
        <f>IF(ISBLANK(L20), "", L20*VLOOKUP($F20,Internal!$B$26:$C$32,2,FALSE))</f>
        <v>0</v>
      </c>
      <c r="O20" s="43">
        <f>IF(ISBLANK(M20), "", M20*VLOOKUP($F20,Internal!$B$26:$C$32,2,FALSE))</f>
        <v>0</v>
      </c>
      <c r="P20" s="42" t="s">
        <v>52</v>
      </c>
    </row>
    <row r="21" spans="2:16" ht="9.4" customHeight="1" x14ac:dyDescent="0.35">
      <c r="B21" s="39">
        <v>11</v>
      </c>
      <c r="C21" s="40" t="s">
        <v>53</v>
      </c>
      <c r="D21" s="42" t="s">
        <v>31</v>
      </c>
      <c r="E21" s="41" t="s">
        <v>32</v>
      </c>
      <c r="F21" s="41" t="s">
        <v>33</v>
      </c>
      <c r="G21" s="42" t="s">
        <v>34</v>
      </c>
      <c r="H21" s="41" t="s">
        <v>51</v>
      </c>
      <c r="I21" s="44">
        <v>46083.444444444453</v>
      </c>
      <c r="J21" s="44">
        <v>46083.520833333343</v>
      </c>
      <c r="K21" s="43" t="s">
        <v>35</v>
      </c>
      <c r="L21" s="45">
        <v>2</v>
      </c>
      <c r="M21" s="45">
        <v>1.83</v>
      </c>
      <c r="N21" s="43">
        <f>IF(ISBLANK(L21), "", L21*VLOOKUP($F21,Internal!$B$26:$C$32,2,FALSE))</f>
        <v>0</v>
      </c>
      <c r="O21" s="43">
        <f>IF(ISBLANK(M21), "", M21*VLOOKUP($F21,Internal!$B$26:$C$32,2,FALSE))</f>
        <v>0</v>
      </c>
      <c r="P21" s="42" t="s">
        <v>44</v>
      </c>
    </row>
    <row r="22" spans="2:16" ht="9.4" customHeight="1" x14ac:dyDescent="0.35">
      <c r="B22" s="39">
        <v>12</v>
      </c>
      <c r="C22" s="40" t="s">
        <v>54</v>
      </c>
      <c r="D22" s="42" t="s">
        <v>31</v>
      </c>
      <c r="E22" s="41" t="s">
        <v>32</v>
      </c>
      <c r="F22" s="41" t="s">
        <v>33</v>
      </c>
      <c r="G22" s="42" t="s">
        <v>34</v>
      </c>
      <c r="H22" s="41" t="s">
        <v>53</v>
      </c>
      <c r="I22" s="44">
        <v>46086.354166666657</v>
      </c>
      <c r="J22" s="44">
        <v>46086.444444444453</v>
      </c>
      <c r="K22" s="43" t="s">
        <v>35</v>
      </c>
      <c r="L22" s="45">
        <v>2</v>
      </c>
      <c r="M22" s="45">
        <v>2.17</v>
      </c>
      <c r="N22" s="43">
        <f>IF(ISBLANK(L22), "", L22*VLOOKUP($F22,Internal!$B$26:$C$32,2,FALSE))</f>
        <v>0</v>
      </c>
      <c r="O22" s="43">
        <f>IF(ISBLANK(M22), "", M22*VLOOKUP($F22,Internal!$B$26:$C$32,2,FALSE))</f>
        <v>0</v>
      </c>
      <c r="P22" s="42" t="s">
        <v>55</v>
      </c>
    </row>
    <row r="23" spans="2:16" ht="9.4" customHeight="1" x14ac:dyDescent="0.35">
      <c r="B23" s="39">
        <v>13</v>
      </c>
      <c r="C23" s="40" t="s">
        <v>56</v>
      </c>
      <c r="D23" s="42" t="s">
        <v>31</v>
      </c>
      <c r="E23" s="41" t="s">
        <v>32</v>
      </c>
      <c r="F23" s="41" t="s">
        <v>33</v>
      </c>
      <c r="G23" s="42" t="s">
        <v>34</v>
      </c>
      <c r="H23" s="41" t="s">
        <v>54</v>
      </c>
      <c r="I23" s="44">
        <v>46090.444444444453</v>
      </c>
      <c r="J23" s="44">
        <v>46090.520833333343</v>
      </c>
      <c r="K23" s="43" t="s">
        <v>35</v>
      </c>
      <c r="L23" s="45">
        <v>2</v>
      </c>
      <c r="M23" s="45">
        <v>1.83</v>
      </c>
      <c r="N23" s="43">
        <f>IF(ISBLANK(L23), "", L23*VLOOKUP($F23,Internal!$B$26:$C$32,2,FALSE))</f>
        <v>0</v>
      </c>
      <c r="O23" s="43">
        <f>IF(ISBLANK(M23), "", M23*VLOOKUP($F23,Internal!$B$26:$C$32,2,FALSE))</f>
        <v>0</v>
      </c>
      <c r="P23" s="42" t="s">
        <v>44</v>
      </c>
    </row>
    <row r="24" spans="2:16" ht="9.4" customHeight="1" x14ac:dyDescent="0.35">
      <c r="B24" s="39">
        <v>14</v>
      </c>
      <c r="C24" s="40" t="s">
        <v>57</v>
      </c>
      <c r="D24" s="42" t="s">
        <v>31</v>
      </c>
      <c r="E24" s="41" t="s">
        <v>32</v>
      </c>
      <c r="F24" s="41" t="s">
        <v>33</v>
      </c>
      <c r="G24" s="42" t="s">
        <v>34</v>
      </c>
      <c r="H24" s="41" t="s">
        <v>56</v>
      </c>
      <c r="I24" s="44">
        <v>46093.354166666657</v>
      </c>
      <c r="J24" s="44">
        <v>46093.444444444453</v>
      </c>
      <c r="K24" s="43" t="s">
        <v>35</v>
      </c>
      <c r="L24" s="45">
        <v>2</v>
      </c>
      <c r="M24" s="45">
        <v>2.17</v>
      </c>
      <c r="N24" s="43">
        <f>IF(ISBLANK(L24), "", L24*VLOOKUP($F24,Internal!$B$26:$C$32,2,FALSE))</f>
        <v>0</v>
      </c>
      <c r="O24" s="43">
        <f>IF(ISBLANK(M24), "", M24*VLOOKUP($F24,Internal!$B$26:$C$32,2,FALSE))</f>
        <v>0</v>
      </c>
      <c r="P24" s="42" t="s">
        <v>58</v>
      </c>
    </row>
    <row r="25" spans="2:16" ht="9.4" customHeight="1" x14ac:dyDescent="0.35">
      <c r="B25" s="39">
        <v>15</v>
      </c>
      <c r="C25" s="40" t="s">
        <v>59</v>
      </c>
      <c r="D25" s="42" t="s">
        <v>31</v>
      </c>
      <c r="E25" s="41" t="s">
        <v>32</v>
      </c>
      <c r="F25" s="41" t="s">
        <v>33</v>
      </c>
      <c r="G25" s="42" t="s">
        <v>34</v>
      </c>
      <c r="H25" s="41" t="s">
        <v>57</v>
      </c>
      <c r="I25" s="44">
        <v>46097.444444444453</v>
      </c>
      <c r="J25" s="44">
        <v>46097.520833333343</v>
      </c>
      <c r="K25" s="43" t="s">
        <v>35</v>
      </c>
      <c r="L25" s="45">
        <v>2</v>
      </c>
      <c r="M25" s="45">
        <v>1.83</v>
      </c>
      <c r="N25" s="43">
        <f>IF(ISBLANK(L25), "", L25*VLOOKUP($F25,Internal!$B$26:$C$32,2,FALSE))</f>
        <v>0</v>
      </c>
      <c r="O25" s="43">
        <f>IF(ISBLANK(M25), "", M25*VLOOKUP($F25,Internal!$B$26:$C$32,2,FALSE))</f>
        <v>0</v>
      </c>
      <c r="P25" s="42" t="s">
        <v>44</v>
      </c>
    </row>
    <row r="26" spans="2:16" ht="9.4" customHeight="1" x14ac:dyDescent="0.35">
      <c r="B26" s="39">
        <v>16</v>
      </c>
      <c r="C26" s="40" t="s">
        <v>60</v>
      </c>
      <c r="D26" s="42" t="s">
        <v>31</v>
      </c>
      <c r="E26" s="41" t="s">
        <v>32</v>
      </c>
      <c r="F26" s="41" t="s">
        <v>33</v>
      </c>
      <c r="G26" s="42" t="s">
        <v>34</v>
      </c>
      <c r="H26" s="41" t="s">
        <v>59</v>
      </c>
      <c r="I26" s="44">
        <v>46100.354166666657</v>
      </c>
      <c r="J26" s="44">
        <v>46100.444444444453</v>
      </c>
      <c r="K26" s="43" t="s">
        <v>35</v>
      </c>
      <c r="L26" s="45">
        <v>2</v>
      </c>
      <c r="M26" s="45">
        <v>2.17</v>
      </c>
      <c r="N26" s="43">
        <f>IF(ISBLANK(L26), "", L26*VLOOKUP($F26,Internal!$B$26:$C$32,2,FALSE))</f>
        <v>0</v>
      </c>
      <c r="O26" s="43">
        <f>IF(ISBLANK(M26), "", M26*VLOOKUP($F26,Internal!$B$26:$C$32,2,FALSE))</f>
        <v>0</v>
      </c>
      <c r="P26" s="42" t="s">
        <v>61</v>
      </c>
    </row>
    <row r="27" spans="2:16" ht="9.4" customHeight="1" x14ac:dyDescent="0.35">
      <c r="B27" s="39">
        <v>17</v>
      </c>
      <c r="C27" s="40" t="s">
        <v>62</v>
      </c>
      <c r="D27" s="42" t="s">
        <v>31</v>
      </c>
      <c r="E27" s="41" t="s">
        <v>32</v>
      </c>
      <c r="F27" s="41" t="s">
        <v>33</v>
      </c>
      <c r="G27" s="42" t="s">
        <v>34</v>
      </c>
      <c r="H27" s="41" t="s">
        <v>60</v>
      </c>
      <c r="I27" s="44">
        <v>46104.444444444453</v>
      </c>
      <c r="J27" s="44">
        <v>46104.520833333343</v>
      </c>
      <c r="K27" s="43" t="s">
        <v>63</v>
      </c>
      <c r="L27" s="45"/>
      <c r="M27" s="45"/>
      <c r="N27" s="43" t="s">
        <v>64</v>
      </c>
      <c r="O27" s="43" t="s">
        <v>64</v>
      </c>
      <c r="P27" s="42" t="s">
        <v>65</v>
      </c>
    </row>
    <row r="28" spans="2:16" ht="9.4" customHeight="1" x14ac:dyDescent="0.35">
      <c r="B28" s="39">
        <v>18</v>
      </c>
      <c r="C28" s="40" t="s">
        <v>66</v>
      </c>
      <c r="D28" s="42" t="s">
        <v>31</v>
      </c>
      <c r="E28" s="41" t="s">
        <v>32</v>
      </c>
      <c r="F28" s="41" t="s">
        <v>33</v>
      </c>
      <c r="G28" s="42" t="s">
        <v>34</v>
      </c>
      <c r="H28" s="41" t="s">
        <v>62</v>
      </c>
      <c r="I28" s="44">
        <v>46107.354166666657</v>
      </c>
      <c r="J28" s="44">
        <v>46107.444444444453</v>
      </c>
      <c r="K28" s="43" t="s">
        <v>63</v>
      </c>
      <c r="L28" s="45"/>
      <c r="M28" s="45"/>
      <c r="N28" s="43" t="s">
        <v>64</v>
      </c>
      <c r="O28" s="43" t="s">
        <v>64</v>
      </c>
      <c r="P28" s="42" t="s">
        <v>65</v>
      </c>
    </row>
    <row r="29" spans="2:16" ht="9.4" customHeight="1" x14ac:dyDescent="0.35">
      <c r="B29" s="39">
        <v>19</v>
      </c>
      <c r="C29" s="40" t="s">
        <v>67</v>
      </c>
      <c r="D29" s="42" t="s">
        <v>68</v>
      </c>
      <c r="E29" s="41" t="s">
        <v>69</v>
      </c>
      <c r="F29" s="41" t="s">
        <v>70</v>
      </c>
      <c r="G29" s="42" t="s">
        <v>71</v>
      </c>
      <c r="H29" s="41"/>
      <c r="I29" s="44">
        <v>46048.625</v>
      </c>
      <c r="J29" s="44">
        <v>46048.8125</v>
      </c>
      <c r="K29" s="43" t="s">
        <v>35</v>
      </c>
      <c r="L29" s="45">
        <v>4</v>
      </c>
      <c r="M29" s="45">
        <v>4.5</v>
      </c>
      <c r="N29" s="43">
        <f>IF(ISBLANK(L29), "", L29*VLOOKUP($F29,Internal!$B$26:$C$32,2,FALSE))</f>
        <v>200</v>
      </c>
      <c r="O29" s="43">
        <f>IF(ISBLANK(M29), "", M29*VLOOKUP($F29,Internal!$B$26:$C$32,2,FALSE))</f>
        <v>225</v>
      </c>
      <c r="P29" s="42" t="s">
        <v>72</v>
      </c>
    </row>
    <row r="30" spans="2:16" ht="9.4" customHeight="1" x14ac:dyDescent="0.35">
      <c r="B30" s="39">
        <v>20</v>
      </c>
      <c r="C30" s="40" t="s">
        <v>73</v>
      </c>
      <c r="D30" s="42" t="s">
        <v>68</v>
      </c>
      <c r="E30" s="41" t="s">
        <v>69</v>
      </c>
      <c r="F30" s="41" t="s">
        <v>70</v>
      </c>
      <c r="G30" s="42" t="s">
        <v>74</v>
      </c>
      <c r="H30" s="41" t="s">
        <v>67</v>
      </c>
      <c r="I30" s="44">
        <v>46050.666666666657</v>
      </c>
      <c r="J30" s="44">
        <v>46050.791666666657</v>
      </c>
      <c r="K30" s="43" t="s">
        <v>35</v>
      </c>
      <c r="L30" s="45">
        <v>3</v>
      </c>
      <c r="M30" s="45">
        <v>3</v>
      </c>
      <c r="N30" s="43">
        <f>IF(ISBLANK(L30), "", L30*VLOOKUP($F30,Internal!$B$26:$C$32,2,FALSE))</f>
        <v>150</v>
      </c>
      <c r="O30" s="43">
        <f>IF(ISBLANK(M30), "", M30*VLOOKUP($F30,Internal!$B$26:$C$32,2,FALSE))</f>
        <v>150</v>
      </c>
      <c r="P30" s="42" t="s">
        <v>75</v>
      </c>
    </row>
    <row r="31" spans="2:16" ht="9.4" customHeight="1" x14ac:dyDescent="0.35">
      <c r="B31" s="39">
        <v>21</v>
      </c>
      <c r="C31" s="40" t="s">
        <v>76</v>
      </c>
      <c r="D31" s="42" t="s">
        <v>77</v>
      </c>
      <c r="E31" s="41" t="s">
        <v>69</v>
      </c>
      <c r="F31" s="41" t="s">
        <v>78</v>
      </c>
      <c r="G31" s="42" t="s">
        <v>79</v>
      </c>
      <c r="H31" s="41" t="s">
        <v>73</v>
      </c>
      <c r="I31" s="44">
        <v>46052.625</v>
      </c>
      <c r="J31" s="44">
        <v>46052.8125</v>
      </c>
      <c r="K31" s="43" t="s">
        <v>35</v>
      </c>
      <c r="L31" s="45">
        <v>4</v>
      </c>
      <c r="M31" s="45">
        <v>4.5</v>
      </c>
      <c r="N31" s="43">
        <f>IF(ISBLANK(L31), "", L31*VLOOKUP($F31,Internal!$B$26:$C$32,2,FALSE))</f>
        <v>100</v>
      </c>
      <c r="O31" s="43">
        <f>IF(ISBLANK(M31), "", M31*VLOOKUP($F31,Internal!$B$26:$C$32,2,FALSE))</f>
        <v>112.5</v>
      </c>
      <c r="P31" s="42" t="s">
        <v>80</v>
      </c>
    </row>
    <row r="32" spans="2:16" ht="9.4" customHeight="1" x14ac:dyDescent="0.35">
      <c r="B32" s="39">
        <v>22</v>
      </c>
      <c r="C32" s="40" t="s">
        <v>81</v>
      </c>
      <c r="D32" s="42" t="s">
        <v>77</v>
      </c>
      <c r="E32" s="41" t="s">
        <v>82</v>
      </c>
      <c r="F32" s="41" t="s">
        <v>78</v>
      </c>
      <c r="G32" s="42" t="s">
        <v>83</v>
      </c>
      <c r="H32" s="41"/>
      <c r="I32" s="44">
        <v>46051.625</v>
      </c>
      <c r="J32" s="44">
        <v>46051.854166666657</v>
      </c>
      <c r="K32" s="43" t="s">
        <v>35</v>
      </c>
      <c r="L32" s="45">
        <v>5</v>
      </c>
      <c r="M32" s="45">
        <v>5.5</v>
      </c>
      <c r="N32" s="43">
        <f>IF(ISBLANK(L32), "", L32*VLOOKUP($F32,Internal!$B$26:$C$32,2,FALSE))</f>
        <v>125</v>
      </c>
      <c r="O32" s="43">
        <f>IF(ISBLANK(M32), "", M32*VLOOKUP($F32,Internal!$B$26:$C$32,2,FALSE))</f>
        <v>137.5</v>
      </c>
      <c r="P32" s="42" t="s">
        <v>84</v>
      </c>
    </row>
    <row r="33" spans="2:16" ht="9.4" customHeight="1" x14ac:dyDescent="0.35">
      <c r="B33" s="39">
        <v>23</v>
      </c>
      <c r="C33" s="40" t="s">
        <v>85</v>
      </c>
      <c r="D33" s="42" t="s">
        <v>77</v>
      </c>
      <c r="E33" s="41" t="s">
        <v>86</v>
      </c>
      <c r="F33" s="41" t="s">
        <v>78</v>
      </c>
      <c r="G33" s="42" t="s">
        <v>83</v>
      </c>
      <c r="H33" s="41"/>
      <c r="I33" s="44">
        <v>46055.625</v>
      </c>
      <c r="J33" s="44">
        <v>46055.854166666657</v>
      </c>
      <c r="K33" s="43" t="s">
        <v>35</v>
      </c>
      <c r="L33" s="45">
        <v>5</v>
      </c>
      <c r="M33" s="45">
        <v>5.5</v>
      </c>
      <c r="N33" s="43">
        <f>IF(ISBLANK(L33), "", L33*VLOOKUP($F33,Internal!$B$26:$C$32,2,FALSE))</f>
        <v>125</v>
      </c>
      <c r="O33" s="43">
        <f>IF(ISBLANK(M33), "", M33*VLOOKUP($F33,Internal!$B$26:$C$32,2,FALSE))</f>
        <v>137.5</v>
      </c>
      <c r="P33" s="42" t="s">
        <v>87</v>
      </c>
    </row>
    <row r="34" spans="2:16" ht="9.4" customHeight="1" x14ac:dyDescent="0.35">
      <c r="B34" s="39">
        <v>24</v>
      </c>
      <c r="C34" s="40" t="s">
        <v>88</v>
      </c>
      <c r="D34" s="42" t="s">
        <v>77</v>
      </c>
      <c r="E34" s="41" t="s">
        <v>89</v>
      </c>
      <c r="F34" s="41" t="s">
        <v>78</v>
      </c>
      <c r="G34" s="42" t="s">
        <v>83</v>
      </c>
      <c r="H34" s="41"/>
      <c r="I34" s="44">
        <v>46056.625</v>
      </c>
      <c r="J34" s="44">
        <v>46056.854166666657</v>
      </c>
      <c r="K34" s="43" t="s">
        <v>35</v>
      </c>
      <c r="L34" s="45">
        <v>5</v>
      </c>
      <c r="M34" s="45">
        <v>5.5</v>
      </c>
      <c r="N34" s="43">
        <f>IF(ISBLANK(L34), "", L34*VLOOKUP($F34,Internal!$B$26:$C$32,2,FALSE))</f>
        <v>125</v>
      </c>
      <c r="O34" s="43">
        <f>IF(ISBLANK(M34), "", M34*VLOOKUP($F34,Internal!$B$26:$C$32,2,FALSE))</f>
        <v>137.5</v>
      </c>
      <c r="P34" s="42" t="s">
        <v>90</v>
      </c>
    </row>
    <row r="35" spans="2:16" ht="9.4" customHeight="1" x14ac:dyDescent="0.35">
      <c r="B35" s="39">
        <v>25</v>
      </c>
      <c r="C35" s="40" t="s">
        <v>91</v>
      </c>
      <c r="D35" s="42" t="s">
        <v>77</v>
      </c>
      <c r="E35" s="41" t="s">
        <v>92</v>
      </c>
      <c r="F35" s="41" t="s">
        <v>78</v>
      </c>
      <c r="G35" s="42" t="s">
        <v>79</v>
      </c>
      <c r="H35" s="41"/>
      <c r="I35" s="44">
        <v>46057.625</v>
      </c>
      <c r="J35" s="44">
        <v>46057.791666666657</v>
      </c>
      <c r="K35" s="43" t="s">
        <v>35</v>
      </c>
      <c r="L35" s="45">
        <v>4</v>
      </c>
      <c r="M35" s="45">
        <v>4</v>
      </c>
      <c r="N35" s="43">
        <f>IF(ISBLANK(L35), "", L35*VLOOKUP($F35,Internal!$B$26:$C$32,2,FALSE))</f>
        <v>100</v>
      </c>
      <c r="O35" s="43">
        <f>IF(ISBLANK(M35), "", M35*VLOOKUP($F35,Internal!$B$26:$C$32,2,FALSE))</f>
        <v>100</v>
      </c>
      <c r="P35" s="42" t="s">
        <v>93</v>
      </c>
    </row>
    <row r="36" spans="2:16" ht="9.4" customHeight="1" x14ac:dyDescent="0.35">
      <c r="B36" s="39">
        <v>26</v>
      </c>
      <c r="C36" s="40" t="s">
        <v>94</v>
      </c>
      <c r="D36" s="42" t="s">
        <v>95</v>
      </c>
      <c r="E36" s="41" t="s">
        <v>92</v>
      </c>
      <c r="F36" s="41" t="s">
        <v>96</v>
      </c>
      <c r="G36" s="42" t="s">
        <v>97</v>
      </c>
      <c r="H36" s="41" t="s">
        <v>91</v>
      </c>
      <c r="I36" s="44">
        <v>46059.645833333343</v>
      </c>
      <c r="J36" s="44">
        <v>46059.75</v>
      </c>
      <c r="K36" s="43" t="s">
        <v>35</v>
      </c>
      <c r="L36" s="45">
        <v>2</v>
      </c>
      <c r="M36" s="45">
        <v>2.5</v>
      </c>
      <c r="N36" s="43">
        <f>IF(ISBLANK(L36), "", L36*VLOOKUP($F36,Internal!$B$26:$C$32,2,FALSE))</f>
        <v>60</v>
      </c>
      <c r="O36" s="43">
        <f>IF(ISBLANK(M36), "", M36*VLOOKUP($F36,Internal!$B$26:$C$32,2,FALSE))</f>
        <v>75</v>
      </c>
      <c r="P36" s="42" t="s">
        <v>98</v>
      </c>
    </row>
    <row r="37" spans="2:16" ht="9.4" customHeight="1" x14ac:dyDescent="0.35">
      <c r="B37" s="39">
        <v>27</v>
      </c>
      <c r="C37" s="40" t="s">
        <v>99</v>
      </c>
      <c r="D37" s="42" t="s">
        <v>77</v>
      </c>
      <c r="E37" s="41" t="s">
        <v>69</v>
      </c>
      <c r="F37" s="41" t="s">
        <v>78</v>
      </c>
      <c r="G37" s="42" t="s">
        <v>83</v>
      </c>
      <c r="H37" s="41" t="s">
        <v>76</v>
      </c>
      <c r="I37" s="44">
        <v>46057.625</v>
      </c>
      <c r="J37" s="44">
        <v>46057.916666666657</v>
      </c>
      <c r="K37" s="43" t="s">
        <v>35</v>
      </c>
      <c r="L37" s="45">
        <v>6</v>
      </c>
      <c r="M37" s="45">
        <v>7</v>
      </c>
      <c r="N37" s="43">
        <f>IF(ISBLANK(L37), "", L37*VLOOKUP($F37,Internal!$B$26:$C$32,2,FALSE))</f>
        <v>150</v>
      </c>
      <c r="O37" s="43">
        <f>IF(ISBLANK(M37), "", M37*VLOOKUP($F37,Internal!$B$26:$C$32,2,FALSE))</f>
        <v>175</v>
      </c>
      <c r="P37" s="42" t="s">
        <v>100</v>
      </c>
    </row>
    <row r="38" spans="2:16" ht="9.4" customHeight="1" x14ac:dyDescent="0.35">
      <c r="B38" s="39">
        <v>28</v>
      </c>
      <c r="C38" s="40" t="s">
        <v>101</v>
      </c>
      <c r="D38" s="42" t="s">
        <v>77</v>
      </c>
      <c r="E38" s="41" t="s">
        <v>69</v>
      </c>
      <c r="F38" s="41" t="s">
        <v>78</v>
      </c>
      <c r="G38" s="42" t="s">
        <v>83</v>
      </c>
      <c r="H38" s="41" t="s">
        <v>99</v>
      </c>
      <c r="I38" s="44">
        <v>46062.625</v>
      </c>
      <c r="J38" s="44">
        <v>46062.854166666657</v>
      </c>
      <c r="K38" s="43" t="s">
        <v>35</v>
      </c>
      <c r="L38" s="45">
        <v>5</v>
      </c>
      <c r="M38" s="45">
        <v>5.5</v>
      </c>
      <c r="N38" s="43">
        <f>IF(ISBLANK(L38), "", L38*VLOOKUP($F38,Internal!$B$26:$C$32,2,FALSE))</f>
        <v>125</v>
      </c>
      <c r="O38" s="43">
        <f>IF(ISBLANK(M38), "", M38*VLOOKUP($F38,Internal!$B$26:$C$32,2,FALSE))</f>
        <v>137.5</v>
      </c>
      <c r="P38" s="42" t="s">
        <v>102</v>
      </c>
    </row>
    <row r="39" spans="2:16" ht="9.4" customHeight="1" x14ac:dyDescent="0.35">
      <c r="B39" s="39">
        <v>29</v>
      </c>
      <c r="C39" s="40" t="s">
        <v>103</v>
      </c>
      <c r="D39" s="42" t="s">
        <v>77</v>
      </c>
      <c r="E39" s="41" t="s">
        <v>69</v>
      </c>
      <c r="F39" s="41" t="s">
        <v>78</v>
      </c>
      <c r="G39" s="42" t="s">
        <v>83</v>
      </c>
      <c r="H39" s="41" t="s">
        <v>101</v>
      </c>
      <c r="I39" s="44">
        <v>46064.666666666657</v>
      </c>
      <c r="J39" s="44">
        <v>46064.75</v>
      </c>
      <c r="K39" s="43" t="s">
        <v>35</v>
      </c>
      <c r="L39" s="45">
        <v>2</v>
      </c>
      <c r="M39" s="45">
        <v>2</v>
      </c>
      <c r="N39" s="43">
        <f>IF(ISBLANK(L39), "", L39*VLOOKUP($F39,Internal!$B$26:$C$32,2,FALSE))</f>
        <v>50</v>
      </c>
      <c r="O39" s="43">
        <f>IF(ISBLANK(M39), "", M39*VLOOKUP($F39,Internal!$B$26:$C$32,2,FALSE))</f>
        <v>50</v>
      </c>
      <c r="P39" s="42" t="s">
        <v>104</v>
      </c>
    </row>
    <row r="40" spans="2:16" ht="9.4" customHeight="1" x14ac:dyDescent="0.35">
      <c r="B40" s="39">
        <v>30</v>
      </c>
      <c r="C40" s="40" t="s">
        <v>105</v>
      </c>
      <c r="D40" s="42" t="s">
        <v>77</v>
      </c>
      <c r="E40" s="41" t="s">
        <v>69</v>
      </c>
      <c r="F40" s="41" t="s">
        <v>78</v>
      </c>
      <c r="G40" s="42" t="s">
        <v>83</v>
      </c>
      <c r="H40" s="41" t="s">
        <v>103</v>
      </c>
      <c r="I40" s="44">
        <v>46066.645833333343</v>
      </c>
      <c r="J40" s="44">
        <v>46066.791666666657</v>
      </c>
      <c r="K40" s="43" t="s">
        <v>35</v>
      </c>
      <c r="L40" s="45">
        <v>3</v>
      </c>
      <c r="M40" s="45">
        <v>3.5</v>
      </c>
      <c r="N40" s="43">
        <f>IF(ISBLANK(L40), "", L40*VLOOKUP($F40,Internal!$B$26:$C$32,2,FALSE))</f>
        <v>75</v>
      </c>
      <c r="O40" s="43">
        <f>IF(ISBLANK(M40), "", M40*VLOOKUP($F40,Internal!$B$26:$C$32,2,FALSE))</f>
        <v>87.5</v>
      </c>
      <c r="P40" s="42" t="s">
        <v>106</v>
      </c>
    </row>
    <row r="41" spans="2:16" ht="9.4" customHeight="1" x14ac:dyDescent="0.35">
      <c r="B41" s="39">
        <v>31</v>
      </c>
      <c r="C41" s="40" t="s">
        <v>107</v>
      </c>
      <c r="D41" s="42" t="s">
        <v>77</v>
      </c>
      <c r="E41" s="41" t="s">
        <v>69</v>
      </c>
      <c r="F41" s="41" t="s">
        <v>78</v>
      </c>
      <c r="G41" s="42" t="s">
        <v>83</v>
      </c>
      <c r="H41" s="41" t="s">
        <v>105</v>
      </c>
      <c r="I41" s="44">
        <v>46071.625</v>
      </c>
      <c r="J41" s="44">
        <v>46071.958333333343</v>
      </c>
      <c r="K41" s="43" t="s">
        <v>35</v>
      </c>
      <c r="L41" s="45">
        <v>7</v>
      </c>
      <c r="M41" s="45">
        <v>8</v>
      </c>
      <c r="N41" s="43">
        <f>IF(ISBLANK(L41), "", L41*VLOOKUP($F41,Internal!$B$26:$C$32,2,FALSE))</f>
        <v>175</v>
      </c>
      <c r="O41" s="43">
        <f>IF(ISBLANK(M41), "", M41*VLOOKUP($F41,Internal!$B$26:$C$32,2,FALSE))</f>
        <v>200</v>
      </c>
      <c r="P41" s="42" t="s">
        <v>108</v>
      </c>
    </row>
    <row r="42" spans="2:16" ht="9.4" customHeight="1" x14ac:dyDescent="0.35">
      <c r="B42" s="39">
        <v>32</v>
      </c>
      <c r="C42" s="40" t="s">
        <v>109</v>
      </c>
      <c r="D42" s="42" t="s">
        <v>77</v>
      </c>
      <c r="E42" s="41" t="s">
        <v>69</v>
      </c>
      <c r="F42" s="41" t="s">
        <v>78</v>
      </c>
      <c r="G42" s="42" t="s">
        <v>83</v>
      </c>
      <c r="H42" s="41" t="s">
        <v>107</v>
      </c>
      <c r="I42" s="44">
        <v>46076.645833333343</v>
      </c>
      <c r="J42" s="44">
        <v>46076.833333333343</v>
      </c>
      <c r="K42" s="43" t="s">
        <v>35</v>
      </c>
      <c r="L42" s="45">
        <v>4</v>
      </c>
      <c r="M42" s="45">
        <v>4.5</v>
      </c>
      <c r="N42" s="43">
        <f>IF(ISBLANK(L42), "", L42*VLOOKUP($F42,Internal!$B$26:$C$32,2,FALSE))</f>
        <v>100</v>
      </c>
      <c r="O42" s="43">
        <f>IF(ISBLANK(M42), "", M42*VLOOKUP($F42,Internal!$B$26:$C$32,2,FALSE))</f>
        <v>112.5</v>
      </c>
      <c r="P42" s="42" t="s">
        <v>110</v>
      </c>
    </row>
    <row r="43" spans="2:16" ht="9.4" customHeight="1" x14ac:dyDescent="0.35">
      <c r="B43" s="39">
        <v>33</v>
      </c>
      <c r="C43" s="40" t="s">
        <v>111</v>
      </c>
      <c r="D43" s="42" t="s">
        <v>77</v>
      </c>
      <c r="E43" s="41" t="s">
        <v>69</v>
      </c>
      <c r="F43" s="41" t="s">
        <v>78</v>
      </c>
      <c r="G43" s="42" t="s">
        <v>83</v>
      </c>
      <c r="H43" s="41" t="s">
        <v>109</v>
      </c>
      <c r="I43" s="44">
        <v>46085.625</v>
      </c>
      <c r="J43" s="44">
        <v>46085.8125</v>
      </c>
      <c r="K43" s="43" t="s">
        <v>35</v>
      </c>
      <c r="L43" s="45">
        <v>4</v>
      </c>
      <c r="M43" s="45">
        <v>4.5</v>
      </c>
      <c r="N43" s="43">
        <f>IF(ISBLANK(L43), "", L43*VLOOKUP($F43,Internal!$B$26:$C$32,2,FALSE))</f>
        <v>100</v>
      </c>
      <c r="O43" s="43">
        <f>IF(ISBLANK(M43), "", M43*VLOOKUP($F43,Internal!$B$26:$C$32,2,FALSE))</f>
        <v>112.5</v>
      </c>
      <c r="P43" s="42" t="s">
        <v>112</v>
      </c>
    </row>
    <row r="44" spans="2:16" ht="9.4" customHeight="1" x14ac:dyDescent="0.35">
      <c r="B44" s="39">
        <v>34</v>
      </c>
      <c r="C44" s="40" t="s">
        <v>113</v>
      </c>
      <c r="D44" s="42" t="s">
        <v>95</v>
      </c>
      <c r="E44" s="41" t="s">
        <v>69</v>
      </c>
      <c r="F44" s="41" t="s">
        <v>96</v>
      </c>
      <c r="G44" s="42" t="s">
        <v>114</v>
      </c>
      <c r="H44" s="41" t="s">
        <v>111</v>
      </c>
      <c r="I44" s="44">
        <v>46091.645833333343</v>
      </c>
      <c r="J44" s="44">
        <v>46091.791666666657</v>
      </c>
      <c r="K44" s="43" t="s">
        <v>35</v>
      </c>
      <c r="L44" s="45">
        <v>3</v>
      </c>
      <c r="M44" s="45">
        <v>3.5</v>
      </c>
      <c r="N44" s="43">
        <f>IF(ISBLANK(L44), "", L44*VLOOKUP($F44,Internal!$B$26:$C$32,2,FALSE))</f>
        <v>90</v>
      </c>
      <c r="O44" s="43">
        <f>IF(ISBLANK(M44), "", M44*VLOOKUP($F44,Internal!$B$26:$C$32,2,FALSE))</f>
        <v>105</v>
      </c>
      <c r="P44" s="42" t="s">
        <v>115</v>
      </c>
    </row>
    <row r="45" spans="2:16" ht="9.4" customHeight="1" x14ac:dyDescent="0.35">
      <c r="B45" s="39">
        <v>35</v>
      </c>
      <c r="C45" s="40" t="s">
        <v>116</v>
      </c>
      <c r="D45" s="42" t="s">
        <v>77</v>
      </c>
      <c r="E45" s="41" t="s">
        <v>82</v>
      </c>
      <c r="F45" s="41" t="s">
        <v>78</v>
      </c>
      <c r="G45" s="42" t="s">
        <v>83</v>
      </c>
      <c r="H45" s="41" t="s">
        <v>81</v>
      </c>
      <c r="I45" s="44">
        <v>46065.645833333343</v>
      </c>
      <c r="J45" s="44">
        <v>46065.9375</v>
      </c>
      <c r="K45" s="43" t="s">
        <v>35</v>
      </c>
      <c r="L45" s="45">
        <v>6</v>
      </c>
      <c r="M45" s="45">
        <v>7</v>
      </c>
      <c r="N45" s="43">
        <f>IF(ISBLANK(L45), "", L45*VLOOKUP($F45,Internal!$B$26:$C$32,2,FALSE))</f>
        <v>150</v>
      </c>
      <c r="O45" s="43">
        <f>IF(ISBLANK(M45), "", M45*VLOOKUP($F45,Internal!$B$26:$C$32,2,FALSE))</f>
        <v>175</v>
      </c>
      <c r="P45" s="42" t="s">
        <v>117</v>
      </c>
    </row>
    <row r="46" spans="2:16" ht="9.4" customHeight="1" x14ac:dyDescent="0.35">
      <c r="B46" s="39">
        <v>36</v>
      </c>
      <c r="C46" s="40" t="s">
        <v>118</v>
      </c>
      <c r="D46" s="42" t="s">
        <v>77</v>
      </c>
      <c r="E46" s="41" t="s">
        <v>82</v>
      </c>
      <c r="F46" s="41" t="s">
        <v>78</v>
      </c>
      <c r="G46" s="42" t="s">
        <v>83</v>
      </c>
      <c r="H46" s="41" t="s">
        <v>116</v>
      </c>
      <c r="I46" s="44">
        <v>46070.625</v>
      </c>
      <c r="J46" s="44">
        <v>46070.854166666657</v>
      </c>
      <c r="K46" s="43" t="s">
        <v>35</v>
      </c>
      <c r="L46" s="45">
        <v>5</v>
      </c>
      <c r="M46" s="45">
        <v>5.5</v>
      </c>
      <c r="N46" s="43">
        <f>IF(ISBLANK(L46), "", L46*VLOOKUP($F46,Internal!$B$26:$C$32,2,FALSE))</f>
        <v>125</v>
      </c>
      <c r="O46" s="43">
        <f>IF(ISBLANK(M46), "", M46*VLOOKUP($F46,Internal!$B$26:$C$32,2,FALSE))</f>
        <v>137.5</v>
      </c>
      <c r="P46" s="42" t="s">
        <v>119</v>
      </c>
    </row>
    <row r="47" spans="2:16" ht="9.4" customHeight="1" x14ac:dyDescent="0.35">
      <c r="B47" s="39">
        <v>37</v>
      </c>
      <c r="C47" s="40" t="s">
        <v>120</v>
      </c>
      <c r="D47" s="42" t="s">
        <v>77</v>
      </c>
      <c r="E47" s="41" t="s">
        <v>82</v>
      </c>
      <c r="F47" s="41" t="s">
        <v>78</v>
      </c>
      <c r="G47" s="42" t="s">
        <v>83</v>
      </c>
      <c r="H47" s="41" t="s">
        <v>118</v>
      </c>
      <c r="I47" s="44">
        <v>46072.645833333343</v>
      </c>
      <c r="J47" s="44">
        <v>46072.729166666657</v>
      </c>
      <c r="K47" s="43" t="s">
        <v>35</v>
      </c>
      <c r="L47" s="45">
        <v>2</v>
      </c>
      <c r="M47" s="45">
        <v>2</v>
      </c>
      <c r="N47" s="43">
        <f>IF(ISBLANK(L47), "", L47*VLOOKUP($F47,Internal!$B$26:$C$32,2,FALSE))</f>
        <v>50</v>
      </c>
      <c r="O47" s="43">
        <f>IF(ISBLANK(M47), "", M47*VLOOKUP($F47,Internal!$B$26:$C$32,2,FALSE))</f>
        <v>50</v>
      </c>
      <c r="P47" s="42" t="s">
        <v>121</v>
      </c>
    </row>
    <row r="48" spans="2:16" ht="9.4" customHeight="1" x14ac:dyDescent="0.35">
      <c r="B48" s="39">
        <v>38</v>
      </c>
      <c r="C48" s="40" t="s">
        <v>122</v>
      </c>
      <c r="D48" s="42" t="s">
        <v>77</v>
      </c>
      <c r="E48" s="41" t="s">
        <v>82</v>
      </c>
      <c r="F48" s="41" t="s">
        <v>78</v>
      </c>
      <c r="G48" s="42" t="s">
        <v>83</v>
      </c>
      <c r="H48" s="41" t="s">
        <v>120</v>
      </c>
      <c r="I48" s="44">
        <v>46077.645833333343</v>
      </c>
      <c r="J48" s="44">
        <v>46077.791666666657</v>
      </c>
      <c r="K48" s="43" t="s">
        <v>35</v>
      </c>
      <c r="L48" s="45">
        <v>3</v>
      </c>
      <c r="M48" s="45">
        <v>3.5</v>
      </c>
      <c r="N48" s="43">
        <f>IF(ISBLANK(L48), "", L48*VLOOKUP($F48,Internal!$B$26:$C$32,2,FALSE))</f>
        <v>75</v>
      </c>
      <c r="O48" s="43">
        <f>IF(ISBLANK(M48), "", M48*VLOOKUP($F48,Internal!$B$26:$C$32,2,FALSE))</f>
        <v>87.5</v>
      </c>
      <c r="P48" s="42" t="s">
        <v>123</v>
      </c>
    </row>
    <row r="49" spans="2:16" ht="9.4" customHeight="1" x14ac:dyDescent="0.35">
      <c r="B49" s="39">
        <v>39</v>
      </c>
      <c r="C49" s="40" t="s">
        <v>124</v>
      </c>
      <c r="D49" s="42" t="s">
        <v>77</v>
      </c>
      <c r="E49" s="41" t="s">
        <v>82</v>
      </c>
      <c r="F49" s="41" t="s">
        <v>78</v>
      </c>
      <c r="G49" s="42" t="s">
        <v>83</v>
      </c>
      <c r="H49" s="41" t="s">
        <v>122</v>
      </c>
      <c r="I49" s="44">
        <v>46079.625</v>
      </c>
      <c r="J49" s="44">
        <v>46079.958333333343</v>
      </c>
      <c r="K49" s="43" t="s">
        <v>35</v>
      </c>
      <c r="L49" s="45">
        <v>7</v>
      </c>
      <c r="M49" s="45">
        <v>8</v>
      </c>
      <c r="N49" s="43">
        <f>IF(ISBLANK(L49), "", L49*VLOOKUP($F49,Internal!$B$26:$C$32,2,FALSE))</f>
        <v>175</v>
      </c>
      <c r="O49" s="43">
        <f>IF(ISBLANK(M49), "", M49*VLOOKUP($F49,Internal!$B$26:$C$32,2,FALSE))</f>
        <v>200</v>
      </c>
      <c r="P49" s="42" t="s">
        <v>125</v>
      </c>
    </row>
    <row r="50" spans="2:16" ht="9.4" customHeight="1" x14ac:dyDescent="0.35">
      <c r="B50" s="39">
        <v>40</v>
      </c>
      <c r="C50" s="40" t="s">
        <v>126</v>
      </c>
      <c r="D50" s="42" t="s">
        <v>77</v>
      </c>
      <c r="E50" s="41" t="s">
        <v>82</v>
      </c>
      <c r="F50" s="41" t="s">
        <v>78</v>
      </c>
      <c r="G50" s="42" t="s">
        <v>83</v>
      </c>
      <c r="H50" s="41" t="s">
        <v>124</v>
      </c>
      <c r="I50" s="44">
        <v>46084.645833333343</v>
      </c>
      <c r="J50" s="44">
        <v>46084.833333333343</v>
      </c>
      <c r="K50" s="43" t="s">
        <v>35</v>
      </c>
      <c r="L50" s="45">
        <v>4</v>
      </c>
      <c r="M50" s="45">
        <v>4.5</v>
      </c>
      <c r="N50" s="43">
        <f>IF(ISBLANK(L50), "", L50*VLOOKUP($F50,Internal!$B$26:$C$32,2,FALSE))</f>
        <v>100</v>
      </c>
      <c r="O50" s="43">
        <f>IF(ISBLANK(M50), "", M50*VLOOKUP($F50,Internal!$B$26:$C$32,2,FALSE))</f>
        <v>112.5</v>
      </c>
      <c r="P50" s="42" t="s">
        <v>127</v>
      </c>
    </row>
    <row r="51" spans="2:16" ht="9.4" customHeight="1" x14ac:dyDescent="0.35">
      <c r="B51" s="39">
        <v>41</v>
      </c>
      <c r="C51" s="40" t="s">
        <v>128</v>
      </c>
      <c r="D51" s="42" t="s">
        <v>77</v>
      </c>
      <c r="E51" s="41" t="s">
        <v>82</v>
      </c>
      <c r="F51" s="41" t="s">
        <v>78</v>
      </c>
      <c r="G51" s="42" t="s">
        <v>83</v>
      </c>
      <c r="H51" s="41" t="s">
        <v>126</v>
      </c>
      <c r="I51" s="44">
        <v>46086.625</v>
      </c>
      <c r="J51" s="44">
        <v>46086.8125</v>
      </c>
      <c r="K51" s="43" t="s">
        <v>35</v>
      </c>
      <c r="L51" s="45">
        <v>4</v>
      </c>
      <c r="M51" s="45">
        <v>4.5</v>
      </c>
      <c r="N51" s="43">
        <f>IF(ISBLANK(L51), "", L51*VLOOKUP($F51,Internal!$B$26:$C$32,2,FALSE))</f>
        <v>100</v>
      </c>
      <c r="O51" s="43">
        <f>IF(ISBLANK(M51), "", M51*VLOOKUP($F51,Internal!$B$26:$C$32,2,FALSE))</f>
        <v>112.5</v>
      </c>
      <c r="P51" s="42" t="s">
        <v>129</v>
      </c>
    </row>
    <row r="52" spans="2:16" ht="9.4" customHeight="1" x14ac:dyDescent="0.35">
      <c r="B52" s="39">
        <v>42</v>
      </c>
      <c r="C52" s="40" t="s">
        <v>130</v>
      </c>
      <c r="D52" s="42" t="s">
        <v>95</v>
      </c>
      <c r="E52" s="41" t="s">
        <v>82</v>
      </c>
      <c r="F52" s="41" t="s">
        <v>96</v>
      </c>
      <c r="G52" s="42" t="s">
        <v>83</v>
      </c>
      <c r="H52" s="41" t="s">
        <v>128</v>
      </c>
      <c r="I52" s="44">
        <v>46091.645833333343</v>
      </c>
      <c r="J52" s="44">
        <v>46091.791666666657</v>
      </c>
      <c r="K52" s="43" t="s">
        <v>35</v>
      </c>
      <c r="L52" s="45">
        <v>3</v>
      </c>
      <c r="M52" s="45">
        <v>3.5</v>
      </c>
      <c r="N52" s="43">
        <f>IF(ISBLANK(L52), "", L52*VLOOKUP($F52,Internal!$B$26:$C$32,2,FALSE))</f>
        <v>90</v>
      </c>
      <c r="O52" s="43">
        <f>IF(ISBLANK(M52), "", M52*VLOOKUP($F52,Internal!$B$26:$C$32,2,FALSE))</f>
        <v>105</v>
      </c>
      <c r="P52" s="42" t="s">
        <v>131</v>
      </c>
    </row>
    <row r="53" spans="2:16" ht="9.4" customHeight="1" x14ac:dyDescent="0.35">
      <c r="B53" s="39">
        <v>43</v>
      </c>
      <c r="C53" s="40" t="s">
        <v>132</v>
      </c>
      <c r="D53" s="42" t="s">
        <v>77</v>
      </c>
      <c r="E53" s="41" t="s">
        <v>86</v>
      </c>
      <c r="F53" s="41" t="s">
        <v>78</v>
      </c>
      <c r="G53" s="42" t="s">
        <v>83</v>
      </c>
      <c r="H53" s="41" t="s">
        <v>85</v>
      </c>
      <c r="I53" s="44">
        <v>46058.625</v>
      </c>
      <c r="J53" s="44">
        <v>46058.916666666657</v>
      </c>
      <c r="K53" s="43" t="s">
        <v>35</v>
      </c>
      <c r="L53" s="45">
        <v>6</v>
      </c>
      <c r="M53" s="45">
        <v>7</v>
      </c>
      <c r="N53" s="43">
        <f>IF(ISBLANK(L53), "", L53*VLOOKUP($F53,Internal!$B$26:$C$32,2,FALSE))</f>
        <v>150</v>
      </c>
      <c r="O53" s="43">
        <f>IF(ISBLANK(M53), "", M53*VLOOKUP($F53,Internal!$B$26:$C$32,2,FALSE))</f>
        <v>175</v>
      </c>
      <c r="P53" s="42" t="s">
        <v>133</v>
      </c>
    </row>
    <row r="54" spans="2:16" ht="9.4" customHeight="1" x14ac:dyDescent="0.35">
      <c r="B54" s="39">
        <v>44</v>
      </c>
      <c r="C54" s="40" t="s">
        <v>134</v>
      </c>
      <c r="D54" s="42" t="s">
        <v>77</v>
      </c>
      <c r="E54" s="41" t="s">
        <v>86</v>
      </c>
      <c r="F54" s="41" t="s">
        <v>78</v>
      </c>
      <c r="G54" s="42" t="s">
        <v>83</v>
      </c>
      <c r="H54" s="41" t="s">
        <v>132</v>
      </c>
      <c r="I54" s="44">
        <v>46070.625</v>
      </c>
      <c r="J54" s="44">
        <v>46070.854166666657</v>
      </c>
      <c r="K54" s="43" t="s">
        <v>35</v>
      </c>
      <c r="L54" s="45">
        <v>5</v>
      </c>
      <c r="M54" s="45">
        <v>5.5</v>
      </c>
      <c r="N54" s="43">
        <f>IF(ISBLANK(L54), "", L54*VLOOKUP($F54,Internal!$B$26:$C$32,2,FALSE))</f>
        <v>125</v>
      </c>
      <c r="O54" s="43">
        <f>IF(ISBLANK(M54), "", M54*VLOOKUP($F54,Internal!$B$26:$C$32,2,FALSE))</f>
        <v>137.5</v>
      </c>
      <c r="P54" s="42" t="s">
        <v>135</v>
      </c>
    </row>
    <row r="55" spans="2:16" ht="9.4" customHeight="1" x14ac:dyDescent="0.35">
      <c r="B55" s="39">
        <v>45</v>
      </c>
      <c r="C55" s="40" t="s">
        <v>136</v>
      </c>
      <c r="D55" s="42" t="s">
        <v>77</v>
      </c>
      <c r="E55" s="41" t="s">
        <v>86</v>
      </c>
      <c r="F55" s="41" t="s">
        <v>78</v>
      </c>
      <c r="G55" s="42" t="s">
        <v>83</v>
      </c>
      <c r="H55" s="41" t="s">
        <v>134</v>
      </c>
      <c r="I55" s="44">
        <v>46079.645833333343</v>
      </c>
      <c r="J55" s="44">
        <v>46079.729166666657</v>
      </c>
      <c r="K55" s="43" t="s">
        <v>35</v>
      </c>
      <c r="L55" s="45">
        <v>2</v>
      </c>
      <c r="M55" s="45">
        <v>2</v>
      </c>
      <c r="N55" s="43">
        <f>IF(ISBLANK(L55), "", L55*VLOOKUP($F55,Internal!$B$26:$C$32,2,FALSE))</f>
        <v>50</v>
      </c>
      <c r="O55" s="43">
        <f>IF(ISBLANK(M55), "", M55*VLOOKUP($F55,Internal!$B$26:$C$32,2,FALSE))</f>
        <v>50</v>
      </c>
      <c r="P55" s="42" t="s">
        <v>137</v>
      </c>
    </row>
    <row r="56" spans="2:16" ht="9.4" customHeight="1" x14ac:dyDescent="0.35">
      <c r="B56" s="39">
        <v>46</v>
      </c>
      <c r="C56" s="40" t="s">
        <v>138</v>
      </c>
      <c r="D56" s="42" t="s">
        <v>77</v>
      </c>
      <c r="E56" s="41" t="s">
        <v>86</v>
      </c>
      <c r="F56" s="41" t="s">
        <v>78</v>
      </c>
      <c r="G56" s="42" t="s">
        <v>83</v>
      </c>
      <c r="H56" s="41" t="s">
        <v>136</v>
      </c>
      <c r="I56" s="44">
        <v>46084.645833333343</v>
      </c>
      <c r="J56" s="44">
        <v>46084.791666666657</v>
      </c>
      <c r="K56" s="43" t="s">
        <v>35</v>
      </c>
      <c r="L56" s="45">
        <v>3</v>
      </c>
      <c r="M56" s="45">
        <v>3.5</v>
      </c>
      <c r="N56" s="43">
        <f>IF(ISBLANK(L56), "", L56*VLOOKUP($F56,Internal!$B$26:$C$32,2,FALSE))</f>
        <v>75</v>
      </c>
      <c r="O56" s="43">
        <f>IF(ISBLANK(M56), "", M56*VLOOKUP($F56,Internal!$B$26:$C$32,2,FALSE))</f>
        <v>87.5</v>
      </c>
      <c r="P56" s="42" t="s">
        <v>139</v>
      </c>
    </row>
    <row r="57" spans="2:16" ht="9.4" customHeight="1" x14ac:dyDescent="0.35">
      <c r="B57" s="39">
        <v>47</v>
      </c>
      <c r="C57" s="40" t="s">
        <v>140</v>
      </c>
      <c r="D57" s="42" t="s">
        <v>77</v>
      </c>
      <c r="E57" s="41" t="s">
        <v>86</v>
      </c>
      <c r="F57" s="41" t="s">
        <v>78</v>
      </c>
      <c r="G57" s="42" t="s">
        <v>83</v>
      </c>
      <c r="H57" s="41" t="s">
        <v>138</v>
      </c>
      <c r="I57" s="44">
        <v>46086.625</v>
      </c>
      <c r="J57" s="44">
        <v>46086.958333333343</v>
      </c>
      <c r="K57" s="43" t="s">
        <v>35</v>
      </c>
      <c r="L57" s="45">
        <v>7</v>
      </c>
      <c r="M57" s="45">
        <v>8</v>
      </c>
      <c r="N57" s="43">
        <f>IF(ISBLANK(L57), "", L57*VLOOKUP($F57,Internal!$B$26:$C$32,2,FALSE))</f>
        <v>175</v>
      </c>
      <c r="O57" s="43">
        <f>IF(ISBLANK(M57), "", M57*VLOOKUP($F57,Internal!$B$26:$C$32,2,FALSE))</f>
        <v>200</v>
      </c>
      <c r="P57" s="42" t="s">
        <v>141</v>
      </c>
    </row>
    <row r="58" spans="2:16" ht="9.4" customHeight="1" x14ac:dyDescent="0.35">
      <c r="B58" s="39">
        <v>48</v>
      </c>
      <c r="C58" s="40" t="s">
        <v>142</v>
      </c>
      <c r="D58" s="42" t="s">
        <v>77</v>
      </c>
      <c r="E58" s="41" t="s">
        <v>86</v>
      </c>
      <c r="F58" s="41" t="s">
        <v>78</v>
      </c>
      <c r="G58" s="42" t="s">
        <v>83</v>
      </c>
      <c r="H58" s="41" t="s">
        <v>140</v>
      </c>
      <c r="I58" s="44">
        <v>46091.645833333343</v>
      </c>
      <c r="J58" s="44">
        <v>46091.833333333343</v>
      </c>
      <c r="K58" s="43" t="s">
        <v>35</v>
      </c>
      <c r="L58" s="45">
        <v>4</v>
      </c>
      <c r="M58" s="45">
        <v>4.5</v>
      </c>
      <c r="N58" s="43">
        <f>IF(ISBLANK(L58), "", L58*VLOOKUP($F58,Internal!$B$26:$C$32,2,FALSE))</f>
        <v>100</v>
      </c>
      <c r="O58" s="43">
        <f>IF(ISBLANK(M58), "", M58*VLOOKUP($F58,Internal!$B$26:$C$32,2,FALSE))</f>
        <v>112.5</v>
      </c>
      <c r="P58" s="42" t="s">
        <v>143</v>
      </c>
    </row>
    <row r="59" spans="2:16" ht="9.4" customHeight="1" x14ac:dyDescent="0.35">
      <c r="B59" s="39">
        <v>49</v>
      </c>
      <c r="C59" s="40" t="s">
        <v>144</v>
      </c>
      <c r="D59" s="42" t="s">
        <v>77</v>
      </c>
      <c r="E59" s="41" t="s">
        <v>86</v>
      </c>
      <c r="F59" s="41" t="s">
        <v>78</v>
      </c>
      <c r="G59" s="42" t="s">
        <v>83</v>
      </c>
      <c r="H59" s="41" t="s">
        <v>142</v>
      </c>
      <c r="I59" s="44">
        <v>46093.625</v>
      </c>
      <c r="J59" s="44">
        <v>46093.8125</v>
      </c>
      <c r="K59" s="43" t="s">
        <v>35</v>
      </c>
      <c r="L59" s="45">
        <v>4</v>
      </c>
      <c r="M59" s="45">
        <v>4.5</v>
      </c>
      <c r="N59" s="43">
        <f>IF(ISBLANK(L59), "", L59*VLOOKUP($F59,Internal!$B$26:$C$32,2,FALSE))</f>
        <v>100</v>
      </c>
      <c r="O59" s="43">
        <f>IF(ISBLANK(M59), "", M59*VLOOKUP($F59,Internal!$B$26:$C$32,2,FALSE))</f>
        <v>112.5</v>
      </c>
      <c r="P59" s="42" t="s">
        <v>145</v>
      </c>
    </row>
    <row r="60" spans="2:16" ht="9.4" customHeight="1" x14ac:dyDescent="0.35">
      <c r="B60" s="39">
        <v>50</v>
      </c>
      <c r="C60" s="40" t="s">
        <v>146</v>
      </c>
      <c r="D60" s="42" t="s">
        <v>95</v>
      </c>
      <c r="E60" s="41" t="s">
        <v>86</v>
      </c>
      <c r="F60" s="41" t="s">
        <v>96</v>
      </c>
      <c r="G60" s="42" t="s">
        <v>114</v>
      </c>
      <c r="H60" s="41" t="s">
        <v>144</v>
      </c>
      <c r="I60" s="44">
        <v>46098.645833333343</v>
      </c>
      <c r="J60" s="44">
        <v>46098.791666666657</v>
      </c>
      <c r="K60" s="43" t="s">
        <v>35</v>
      </c>
      <c r="L60" s="45">
        <v>3</v>
      </c>
      <c r="M60" s="45">
        <v>3.5</v>
      </c>
      <c r="N60" s="43">
        <f>IF(ISBLANK(L60), "", L60*VLOOKUP($F60,Internal!$B$26:$C$32,2,FALSE))</f>
        <v>90</v>
      </c>
      <c r="O60" s="43">
        <f>IF(ISBLANK(M60), "", M60*VLOOKUP($F60,Internal!$B$26:$C$32,2,FALSE))</f>
        <v>105</v>
      </c>
      <c r="P60" s="42" t="s">
        <v>147</v>
      </c>
    </row>
    <row r="61" spans="2:16" ht="9.4" customHeight="1" x14ac:dyDescent="0.35">
      <c r="B61" s="39">
        <v>51</v>
      </c>
      <c r="C61" s="40" t="s">
        <v>148</v>
      </c>
      <c r="D61" s="42" t="s">
        <v>77</v>
      </c>
      <c r="E61" s="41" t="s">
        <v>89</v>
      </c>
      <c r="F61" s="41" t="s">
        <v>78</v>
      </c>
      <c r="G61" s="42" t="s">
        <v>83</v>
      </c>
      <c r="H61" s="41" t="s">
        <v>88</v>
      </c>
      <c r="I61" s="44">
        <v>46059.625</v>
      </c>
      <c r="J61" s="44">
        <v>46059.916666666657</v>
      </c>
      <c r="K61" s="43" t="s">
        <v>63</v>
      </c>
      <c r="L61" s="45">
        <v>0</v>
      </c>
      <c r="M61" s="45">
        <v>0</v>
      </c>
      <c r="N61" s="43">
        <v>0</v>
      </c>
      <c r="O61" s="43">
        <v>0</v>
      </c>
      <c r="P61" s="42" t="s">
        <v>149</v>
      </c>
    </row>
    <row r="62" spans="2:16" ht="9.4" customHeight="1" x14ac:dyDescent="0.35">
      <c r="B62" s="39">
        <v>52</v>
      </c>
      <c r="C62" s="40" t="s">
        <v>150</v>
      </c>
      <c r="D62" s="42" t="s">
        <v>77</v>
      </c>
      <c r="E62" s="41" t="s">
        <v>89</v>
      </c>
      <c r="F62" s="41" t="s">
        <v>78</v>
      </c>
      <c r="G62" s="42" t="s">
        <v>83</v>
      </c>
      <c r="H62" s="41" t="s">
        <v>148</v>
      </c>
      <c r="I62" s="44">
        <v>46071.625</v>
      </c>
      <c r="J62" s="44">
        <v>46071.854166666657</v>
      </c>
      <c r="K62" s="43" t="s">
        <v>63</v>
      </c>
      <c r="L62" s="45">
        <v>0</v>
      </c>
      <c r="M62" s="45">
        <v>0</v>
      </c>
      <c r="N62" s="43">
        <v>0</v>
      </c>
      <c r="O62" s="43">
        <v>0</v>
      </c>
      <c r="P62" s="42" t="s">
        <v>151</v>
      </c>
    </row>
    <row r="63" spans="2:16" ht="9.4" customHeight="1" x14ac:dyDescent="0.35">
      <c r="B63" s="39">
        <v>53</v>
      </c>
      <c r="C63" s="40" t="s">
        <v>152</v>
      </c>
      <c r="D63" s="42" t="s">
        <v>77</v>
      </c>
      <c r="E63" s="41" t="s">
        <v>89</v>
      </c>
      <c r="F63" s="41" t="s">
        <v>78</v>
      </c>
      <c r="G63" s="42" t="s">
        <v>83</v>
      </c>
      <c r="H63" s="41" t="s">
        <v>150</v>
      </c>
      <c r="I63" s="44">
        <v>46073.645833333343</v>
      </c>
      <c r="J63" s="44">
        <v>46073.729166666657</v>
      </c>
      <c r="K63" s="43" t="s">
        <v>63</v>
      </c>
      <c r="L63" s="45">
        <v>0</v>
      </c>
      <c r="M63" s="45">
        <v>0</v>
      </c>
      <c r="N63" s="43">
        <v>0</v>
      </c>
      <c r="O63" s="43">
        <v>0</v>
      </c>
      <c r="P63" s="42" t="s">
        <v>153</v>
      </c>
    </row>
    <row r="64" spans="2:16" ht="9.4" customHeight="1" x14ac:dyDescent="0.35">
      <c r="B64" s="39">
        <v>54</v>
      </c>
      <c r="C64" s="40" t="s">
        <v>154</v>
      </c>
      <c r="D64" s="42" t="s">
        <v>77</v>
      </c>
      <c r="E64" s="41" t="s">
        <v>89</v>
      </c>
      <c r="F64" s="41" t="s">
        <v>78</v>
      </c>
      <c r="G64" s="42" t="s">
        <v>83</v>
      </c>
      <c r="H64" s="41" t="s">
        <v>152</v>
      </c>
      <c r="I64" s="44">
        <v>46078.645833333343</v>
      </c>
      <c r="J64" s="44">
        <v>46078.791666666657</v>
      </c>
      <c r="K64" s="43" t="s">
        <v>63</v>
      </c>
      <c r="L64" s="45">
        <v>0</v>
      </c>
      <c r="M64" s="45">
        <v>0</v>
      </c>
      <c r="N64" s="43">
        <v>0</v>
      </c>
      <c r="O64" s="43">
        <v>0</v>
      </c>
      <c r="P64" s="42" t="s">
        <v>155</v>
      </c>
    </row>
    <row r="65" spans="2:16" ht="9.4" customHeight="1" x14ac:dyDescent="0.35">
      <c r="B65" s="39">
        <v>55</v>
      </c>
      <c r="C65" s="40" t="s">
        <v>156</v>
      </c>
      <c r="D65" s="42" t="s">
        <v>77</v>
      </c>
      <c r="E65" s="41" t="s">
        <v>89</v>
      </c>
      <c r="F65" s="41" t="s">
        <v>78</v>
      </c>
      <c r="G65" s="42" t="s">
        <v>83</v>
      </c>
      <c r="H65" s="41" t="s">
        <v>154</v>
      </c>
      <c r="I65" s="44">
        <v>46080.625</v>
      </c>
      <c r="J65" s="44">
        <v>46080.958333333343</v>
      </c>
      <c r="K65" s="43" t="s">
        <v>63</v>
      </c>
      <c r="L65" s="45">
        <v>0</v>
      </c>
      <c r="M65" s="45">
        <v>0</v>
      </c>
      <c r="N65" s="43">
        <v>0</v>
      </c>
      <c r="O65" s="43">
        <v>0</v>
      </c>
      <c r="P65" s="42" t="s">
        <v>157</v>
      </c>
    </row>
    <row r="66" spans="2:16" ht="9.4" customHeight="1" x14ac:dyDescent="0.35">
      <c r="B66" s="39">
        <v>56</v>
      </c>
      <c r="C66" s="40" t="s">
        <v>158</v>
      </c>
      <c r="D66" s="42" t="s">
        <v>77</v>
      </c>
      <c r="E66" s="41" t="s">
        <v>89</v>
      </c>
      <c r="F66" s="41" t="s">
        <v>78</v>
      </c>
      <c r="G66" s="42" t="s">
        <v>83</v>
      </c>
      <c r="H66" s="41" t="s">
        <v>156</v>
      </c>
      <c r="I66" s="44">
        <v>46085.645833333343</v>
      </c>
      <c r="J66" s="44">
        <v>46085.833333333343</v>
      </c>
      <c r="K66" s="43" t="s">
        <v>63</v>
      </c>
      <c r="L66" s="45">
        <v>0</v>
      </c>
      <c r="M66" s="45">
        <v>0</v>
      </c>
      <c r="N66" s="43">
        <v>0</v>
      </c>
      <c r="O66" s="43">
        <v>0</v>
      </c>
      <c r="P66" s="42" t="s">
        <v>159</v>
      </c>
    </row>
    <row r="67" spans="2:16" ht="9.4" customHeight="1" x14ac:dyDescent="0.35">
      <c r="B67" s="39">
        <v>57</v>
      </c>
      <c r="C67" s="40" t="s">
        <v>160</v>
      </c>
      <c r="D67" s="42" t="s">
        <v>77</v>
      </c>
      <c r="E67" s="41" t="s">
        <v>89</v>
      </c>
      <c r="F67" s="41" t="s">
        <v>78</v>
      </c>
      <c r="G67" s="42" t="s">
        <v>83</v>
      </c>
      <c r="H67" s="41" t="s">
        <v>158</v>
      </c>
      <c r="I67" s="44">
        <v>46087.625</v>
      </c>
      <c r="J67" s="44">
        <v>46087.8125</v>
      </c>
      <c r="K67" s="43" t="s">
        <v>63</v>
      </c>
      <c r="L67" s="45">
        <v>0</v>
      </c>
      <c r="M67" s="45">
        <v>0</v>
      </c>
      <c r="N67" s="43">
        <v>0</v>
      </c>
      <c r="O67" s="43">
        <v>0</v>
      </c>
      <c r="P67" s="42" t="s">
        <v>161</v>
      </c>
    </row>
    <row r="68" spans="2:16" ht="9.4" customHeight="1" x14ac:dyDescent="0.35">
      <c r="B68" s="39">
        <v>58</v>
      </c>
      <c r="C68" s="40" t="s">
        <v>162</v>
      </c>
      <c r="D68" s="42" t="s">
        <v>95</v>
      </c>
      <c r="E68" s="41" t="s">
        <v>89</v>
      </c>
      <c r="F68" s="41" t="s">
        <v>96</v>
      </c>
      <c r="G68" s="42" t="s">
        <v>114</v>
      </c>
      <c r="H68" s="41" t="s">
        <v>160</v>
      </c>
      <c r="I68" s="44">
        <v>46092.645833333343</v>
      </c>
      <c r="J68" s="44">
        <v>46092.791666666657</v>
      </c>
      <c r="K68" s="43" t="s">
        <v>63</v>
      </c>
      <c r="L68" s="45">
        <v>0</v>
      </c>
      <c r="M68" s="45">
        <v>0</v>
      </c>
      <c r="N68" s="43">
        <v>0</v>
      </c>
      <c r="O68" s="43">
        <v>0</v>
      </c>
      <c r="P68" s="42" t="s">
        <v>163</v>
      </c>
    </row>
    <row r="69" spans="2:16" ht="9.4" customHeight="1" x14ac:dyDescent="0.35">
      <c r="B69" s="39">
        <v>59</v>
      </c>
      <c r="C69" s="40" t="s">
        <v>164</v>
      </c>
      <c r="D69" s="42" t="s">
        <v>77</v>
      </c>
      <c r="E69" s="41" t="s">
        <v>92</v>
      </c>
      <c r="F69" s="41" t="s">
        <v>78</v>
      </c>
      <c r="G69" s="42" t="s">
        <v>83</v>
      </c>
      <c r="H69" s="41" t="s">
        <v>94</v>
      </c>
      <c r="I69" s="44">
        <v>46062.625</v>
      </c>
      <c r="J69" s="44">
        <v>46062.916666666657</v>
      </c>
      <c r="K69" s="43" t="s">
        <v>63</v>
      </c>
      <c r="L69" s="45">
        <v>0</v>
      </c>
      <c r="M69" s="45">
        <v>0</v>
      </c>
      <c r="N69" s="43">
        <v>0</v>
      </c>
      <c r="O69" s="43">
        <v>0</v>
      </c>
      <c r="P69" s="42" t="s">
        <v>165</v>
      </c>
    </row>
    <row r="70" spans="2:16" ht="9.4" customHeight="1" x14ac:dyDescent="0.35">
      <c r="B70" s="39">
        <v>60</v>
      </c>
      <c r="C70" s="40" t="s">
        <v>166</v>
      </c>
      <c r="D70" s="42" t="s">
        <v>77</v>
      </c>
      <c r="E70" s="41" t="s">
        <v>92</v>
      </c>
      <c r="F70" s="41" t="s">
        <v>78</v>
      </c>
      <c r="G70" s="42" t="s">
        <v>83</v>
      </c>
      <c r="H70" s="41" t="s">
        <v>164</v>
      </c>
      <c r="I70" s="44">
        <v>46065.645833333343</v>
      </c>
      <c r="J70" s="44">
        <v>46065.875</v>
      </c>
      <c r="K70" s="43" t="s">
        <v>63</v>
      </c>
      <c r="L70" s="45">
        <v>0</v>
      </c>
      <c r="M70" s="45">
        <v>0</v>
      </c>
      <c r="N70" s="43">
        <v>0</v>
      </c>
      <c r="O70" s="43">
        <v>0</v>
      </c>
      <c r="P70" s="42" t="s">
        <v>167</v>
      </c>
    </row>
    <row r="71" spans="2:16" ht="9.4" customHeight="1" x14ac:dyDescent="0.35">
      <c r="B71" s="39">
        <v>61</v>
      </c>
      <c r="C71" s="40" t="s">
        <v>168</v>
      </c>
      <c r="D71" s="42" t="s">
        <v>77</v>
      </c>
      <c r="E71" s="41" t="s">
        <v>92</v>
      </c>
      <c r="F71" s="41" t="s">
        <v>78</v>
      </c>
      <c r="G71" s="42" t="s">
        <v>83</v>
      </c>
      <c r="H71" s="41" t="s">
        <v>166</v>
      </c>
      <c r="I71" s="44">
        <v>46077.645833333343</v>
      </c>
      <c r="J71" s="44">
        <v>46077.729166666657</v>
      </c>
      <c r="K71" s="43" t="s">
        <v>63</v>
      </c>
      <c r="L71" s="45">
        <v>0</v>
      </c>
      <c r="M71" s="45">
        <v>0</v>
      </c>
      <c r="N71" s="43">
        <v>0</v>
      </c>
      <c r="O71" s="43">
        <v>0</v>
      </c>
      <c r="P71" s="42" t="s">
        <v>169</v>
      </c>
    </row>
    <row r="72" spans="2:16" ht="9.4" customHeight="1" x14ac:dyDescent="0.35">
      <c r="B72" s="39">
        <v>62</v>
      </c>
      <c r="C72" s="40" t="s">
        <v>170</v>
      </c>
      <c r="D72" s="42" t="s">
        <v>77</v>
      </c>
      <c r="E72" s="41" t="s">
        <v>92</v>
      </c>
      <c r="F72" s="41" t="s">
        <v>78</v>
      </c>
      <c r="G72" s="42" t="s">
        <v>83</v>
      </c>
      <c r="H72" s="41" t="s">
        <v>168</v>
      </c>
      <c r="I72" s="44">
        <v>46083.645833333343</v>
      </c>
      <c r="J72" s="44">
        <v>46083.791666666657</v>
      </c>
      <c r="K72" s="43" t="s">
        <v>63</v>
      </c>
      <c r="L72" s="45">
        <v>0</v>
      </c>
      <c r="M72" s="45">
        <v>0</v>
      </c>
      <c r="N72" s="43">
        <v>0</v>
      </c>
      <c r="O72" s="43">
        <v>0</v>
      </c>
      <c r="P72" s="42" t="s">
        <v>171</v>
      </c>
    </row>
    <row r="73" spans="2:16" ht="9.4" customHeight="1" x14ac:dyDescent="0.35">
      <c r="B73" s="39">
        <v>63</v>
      </c>
      <c r="C73" s="40" t="s">
        <v>172</v>
      </c>
      <c r="D73" s="42" t="s">
        <v>77</v>
      </c>
      <c r="E73" s="41" t="s">
        <v>92</v>
      </c>
      <c r="F73" s="41" t="s">
        <v>78</v>
      </c>
      <c r="G73" s="42" t="s">
        <v>83</v>
      </c>
      <c r="H73" s="41" t="s">
        <v>170</v>
      </c>
      <c r="I73" s="44">
        <v>46086.625</v>
      </c>
      <c r="J73" s="44">
        <v>46086.958333333343</v>
      </c>
      <c r="K73" s="43" t="s">
        <v>63</v>
      </c>
      <c r="L73" s="45">
        <v>0</v>
      </c>
      <c r="M73" s="45">
        <v>0</v>
      </c>
      <c r="N73" s="43">
        <v>0</v>
      </c>
      <c r="O73" s="43">
        <v>0</v>
      </c>
      <c r="P73" s="42" t="s">
        <v>173</v>
      </c>
    </row>
    <row r="74" spans="2:16" ht="9.4" customHeight="1" x14ac:dyDescent="0.35">
      <c r="B74" s="39">
        <v>64</v>
      </c>
      <c r="C74" s="40" t="s">
        <v>174</v>
      </c>
      <c r="D74" s="42" t="s">
        <v>77</v>
      </c>
      <c r="E74" s="41" t="s">
        <v>92</v>
      </c>
      <c r="F74" s="41" t="s">
        <v>78</v>
      </c>
      <c r="G74" s="42" t="s">
        <v>83</v>
      </c>
      <c r="H74" s="41" t="s">
        <v>172</v>
      </c>
      <c r="I74" s="44">
        <v>46090.645833333343</v>
      </c>
      <c r="J74" s="44">
        <v>46090.833333333343</v>
      </c>
      <c r="K74" s="43" t="s">
        <v>63</v>
      </c>
      <c r="L74" s="45">
        <v>0</v>
      </c>
      <c r="M74" s="45">
        <v>0</v>
      </c>
      <c r="N74" s="43">
        <v>0</v>
      </c>
      <c r="O74" s="43">
        <v>0</v>
      </c>
      <c r="P74" s="42" t="s">
        <v>175</v>
      </c>
    </row>
    <row r="75" spans="2:16" ht="9.4" customHeight="1" x14ac:dyDescent="0.35">
      <c r="B75" s="39">
        <v>65</v>
      </c>
      <c r="C75" s="40" t="s">
        <v>176</v>
      </c>
      <c r="D75" s="42" t="s">
        <v>77</v>
      </c>
      <c r="E75" s="41" t="s">
        <v>92</v>
      </c>
      <c r="F75" s="41" t="s">
        <v>78</v>
      </c>
      <c r="G75" s="42" t="s">
        <v>83</v>
      </c>
      <c r="H75" s="41" t="s">
        <v>174</v>
      </c>
      <c r="I75" s="44">
        <v>46093.625</v>
      </c>
      <c r="J75" s="44">
        <v>46093.8125</v>
      </c>
      <c r="K75" s="43" t="s">
        <v>63</v>
      </c>
      <c r="L75" s="45">
        <v>0</v>
      </c>
      <c r="M75" s="45">
        <v>0</v>
      </c>
      <c r="N75" s="43">
        <v>0</v>
      </c>
      <c r="O75" s="43">
        <v>0</v>
      </c>
      <c r="P75" s="42" t="s">
        <v>177</v>
      </c>
    </row>
    <row r="76" spans="2:16" ht="9.4" customHeight="1" x14ac:dyDescent="0.35">
      <c r="B76" s="39">
        <v>66</v>
      </c>
      <c r="C76" s="40" t="s">
        <v>178</v>
      </c>
      <c r="D76" s="42" t="s">
        <v>95</v>
      </c>
      <c r="E76" s="41" t="s">
        <v>92</v>
      </c>
      <c r="F76" s="41" t="s">
        <v>96</v>
      </c>
      <c r="G76" s="42" t="s">
        <v>114</v>
      </c>
      <c r="H76" s="41" t="s">
        <v>176</v>
      </c>
      <c r="I76" s="44">
        <v>46099.645833333343</v>
      </c>
      <c r="J76" s="44">
        <v>46099.791666666657</v>
      </c>
      <c r="K76" s="43" t="s">
        <v>63</v>
      </c>
      <c r="L76" s="45">
        <v>0</v>
      </c>
      <c r="M76" s="45">
        <v>0</v>
      </c>
      <c r="N76" s="43">
        <v>0</v>
      </c>
      <c r="O76" s="43">
        <v>0</v>
      </c>
      <c r="P76" s="42" t="s">
        <v>179</v>
      </c>
    </row>
    <row r="77" spans="2:16" ht="9.4" customHeight="1" x14ac:dyDescent="0.35">
      <c r="B77" s="39">
        <v>67</v>
      </c>
      <c r="C77" s="40" t="str">
        <f>IF(ISBLANK(D77), "", _xlfn.CONCAT("T", TEXT(B77, "0000"), "/", VLOOKUP(D77, Internal!$B$35:C$39, 2, FALSE), IF(OR(D77="QA", D77="Revision"), _xlfn.CONCAT("/", H77), "")))</f>
        <v/>
      </c>
      <c r="D77" s="42"/>
      <c r="E77" s="41"/>
      <c r="F77" s="41"/>
      <c r="G77" s="42"/>
      <c r="H77" s="41"/>
      <c r="I77" s="44"/>
      <c r="J77" s="44"/>
      <c r="K77" s="43" t="str">
        <f t="shared" ref="K77:K110" ca="1" si="0">IF(OR(I77="",J77=""),"",IF(AND(J77&lt;&gt;"",I77&gt;=NOW()),"Planned",IF(AND(J77&lt;&gt;"",J77&lt;NOW()),"Completed","Ongoing")))</f>
        <v/>
      </c>
      <c r="L77" s="45"/>
      <c r="M77" s="45"/>
      <c r="N77" s="43" t="str">
        <f>IF(ISBLANK(L77), "", L77*VLOOKUP($F77,Internal!$B$26:$C$32,2,FALSE))</f>
        <v/>
      </c>
      <c r="O77" s="43" t="str">
        <f>IF(ISBLANK(M77), "", M77*VLOOKUP($F77,Internal!$B$26:$C$32,2,FALSE))</f>
        <v/>
      </c>
      <c r="P77" s="42"/>
    </row>
    <row r="78" spans="2:16" ht="9.4" customHeight="1" x14ac:dyDescent="0.35">
      <c r="B78" s="39">
        <v>68</v>
      </c>
      <c r="C78" s="40" t="str">
        <f>IF(ISBLANK(D78), "", _xlfn.CONCAT("T", TEXT(B78, "0000"), "/", VLOOKUP(D78, Internal!$B$35:C$39, 2, FALSE), IF(OR(D78="QA", D78="Revision"), _xlfn.CONCAT("/", H78), "")))</f>
        <v/>
      </c>
      <c r="D78" s="42"/>
      <c r="E78" s="41"/>
      <c r="F78" s="41"/>
      <c r="G78" s="42"/>
      <c r="H78" s="41"/>
      <c r="I78" s="44"/>
      <c r="J78" s="44"/>
      <c r="K78" s="43" t="str">
        <f t="shared" ca="1" si="0"/>
        <v/>
      </c>
      <c r="L78" s="45"/>
      <c r="M78" s="45"/>
      <c r="N78" s="43" t="str">
        <f>IF(ISBLANK(L78), "", L78*VLOOKUP($F78,Internal!$B$26:$C$32,2,FALSE))</f>
        <v/>
      </c>
      <c r="O78" s="43" t="str">
        <f>IF(ISBLANK(M78), "", M78*VLOOKUP($F78,Internal!$B$26:$C$32,2,FALSE))</f>
        <v/>
      </c>
      <c r="P78" s="42"/>
    </row>
    <row r="79" spans="2:16" ht="9.4" customHeight="1" x14ac:dyDescent="0.35">
      <c r="B79" s="39">
        <v>69</v>
      </c>
      <c r="C79" s="40" t="str">
        <f>IF(ISBLANK(D79), "", _xlfn.CONCAT("T", TEXT(B79, "0000"), "/", VLOOKUP(D79, Internal!$B$35:C$39, 2, FALSE), IF(OR(D79="QA", D79="Revision"), _xlfn.CONCAT("/", H79), "")))</f>
        <v/>
      </c>
      <c r="D79" s="42"/>
      <c r="E79" s="41"/>
      <c r="F79" s="41"/>
      <c r="G79" s="42"/>
      <c r="H79" s="41"/>
      <c r="I79" s="44"/>
      <c r="J79" s="44"/>
      <c r="K79" s="43" t="str">
        <f t="shared" ca="1" si="0"/>
        <v/>
      </c>
      <c r="L79" s="45"/>
      <c r="M79" s="45"/>
      <c r="N79" s="43" t="str">
        <f>IF(ISBLANK(L79), "", L79*VLOOKUP($F79,Internal!$B$26:$C$32,2,FALSE))</f>
        <v/>
      </c>
      <c r="O79" s="43" t="str">
        <f>IF(ISBLANK(M79), "", M79*VLOOKUP($F79,Internal!$B$26:$C$32,2,FALSE))</f>
        <v/>
      </c>
      <c r="P79" s="42"/>
    </row>
    <row r="80" spans="2:16" ht="9.4" customHeight="1" x14ac:dyDescent="0.35">
      <c r="B80" s="39">
        <v>70</v>
      </c>
      <c r="C80" s="40" t="str">
        <f>IF(ISBLANK(D80), "", _xlfn.CONCAT("T", TEXT(B80, "0000"), "/", VLOOKUP(D80, Internal!$B$35:C$39, 2, FALSE), IF(OR(D80="QA", D80="Revision"), _xlfn.CONCAT("/", H80), "")))</f>
        <v/>
      </c>
      <c r="D80" s="42"/>
      <c r="E80" s="41"/>
      <c r="F80" s="41"/>
      <c r="G80" s="42"/>
      <c r="H80" s="41"/>
      <c r="I80" s="44"/>
      <c r="J80" s="44"/>
      <c r="K80" s="43" t="str">
        <f t="shared" ca="1" si="0"/>
        <v/>
      </c>
      <c r="L80" s="45"/>
      <c r="M80" s="45"/>
      <c r="N80" s="43" t="str">
        <f>IF(ISBLANK(L80), "", L80*VLOOKUP($F80,Internal!$B$26:$C$32,2,FALSE))</f>
        <v/>
      </c>
      <c r="O80" s="43" t="str">
        <f>IF(ISBLANK(M80), "", M80*VLOOKUP($F80,Internal!$B$26:$C$32,2,FALSE))</f>
        <v/>
      </c>
      <c r="P80" s="42"/>
    </row>
    <row r="81" spans="2:16" ht="9.4" customHeight="1" x14ac:dyDescent="0.35">
      <c r="B81" s="39">
        <v>71</v>
      </c>
      <c r="C81" s="40" t="str">
        <f>IF(ISBLANK(D81), "", _xlfn.CONCAT("T", TEXT(B81, "0000"), "/", VLOOKUP(D81, Internal!$B$35:C$39, 2, FALSE), IF(OR(D81="QA", D81="Revision"), _xlfn.CONCAT("/", H81), "")))</f>
        <v/>
      </c>
      <c r="D81" s="42"/>
      <c r="E81" s="41"/>
      <c r="F81" s="41"/>
      <c r="G81" s="42"/>
      <c r="H81" s="41"/>
      <c r="I81" s="44"/>
      <c r="J81" s="44"/>
      <c r="K81" s="43" t="str">
        <f t="shared" ca="1" si="0"/>
        <v/>
      </c>
      <c r="L81" s="45"/>
      <c r="M81" s="45"/>
      <c r="N81" s="43" t="str">
        <f>IF(ISBLANK(L81), "", L81*VLOOKUP($F81,Internal!$B$26:$C$32,2,FALSE))</f>
        <v/>
      </c>
      <c r="O81" s="43" t="str">
        <f>IF(ISBLANK(M81), "", M81*VLOOKUP($F81,Internal!$B$26:$C$32,2,FALSE))</f>
        <v/>
      </c>
      <c r="P81" s="42"/>
    </row>
    <row r="82" spans="2:16" ht="9.4" customHeight="1" x14ac:dyDescent="0.35">
      <c r="B82" s="39">
        <v>72</v>
      </c>
      <c r="C82" s="40" t="str">
        <f>IF(ISBLANK(D82), "", _xlfn.CONCAT("T", TEXT(B82, "0000"), "/", VLOOKUP(D82, Internal!$B$35:C$39, 2, FALSE), IF(OR(D82="QA", D82="Revision"), _xlfn.CONCAT("/", H82), "")))</f>
        <v/>
      </c>
      <c r="D82" s="42"/>
      <c r="E82" s="41"/>
      <c r="F82" s="41"/>
      <c r="G82" s="42"/>
      <c r="H82" s="41"/>
      <c r="I82" s="44"/>
      <c r="J82" s="44"/>
      <c r="K82" s="43" t="str">
        <f t="shared" ca="1" si="0"/>
        <v/>
      </c>
      <c r="L82" s="45"/>
      <c r="M82" s="45"/>
      <c r="N82" s="43" t="str">
        <f>IF(ISBLANK(L82), "", L82*VLOOKUP($F82,Internal!$B$26:$C$32,2,FALSE))</f>
        <v/>
      </c>
      <c r="O82" s="43" t="str">
        <f>IF(ISBLANK(M82), "", M82*VLOOKUP($F82,Internal!$B$26:$C$32,2,FALSE))</f>
        <v/>
      </c>
      <c r="P82" s="42"/>
    </row>
    <row r="83" spans="2:16" ht="9.4" customHeight="1" x14ac:dyDescent="0.35">
      <c r="B83" s="39">
        <v>73</v>
      </c>
      <c r="C83" s="40" t="str">
        <f>IF(ISBLANK(D83), "", _xlfn.CONCAT("T", TEXT(B83, "0000"), "/", VLOOKUP(D83, Internal!$B$35:C$39, 2, FALSE), IF(OR(D83="QA", D83="Revision"), _xlfn.CONCAT("/", H83), "")))</f>
        <v/>
      </c>
      <c r="D83" s="42"/>
      <c r="E83" s="41"/>
      <c r="F83" s="41"/>
      <c r="G83" s="42"/>
      <c r="H83" s="41"/>
      <c r="I83" s="44"/>
      <c r="J83" s="44"/>
      <c r="K83" s="43" t="str">
        <f t="shared" ca="1" si="0"/>
        <v/>
      </c>
      <c r="L83" s="45"/>
      <c r="M83" s="45"/>
      <c r="N83" s="43" t="str">
        <f>IF(ISBLANK(L83), "", L83*VLOOKUP($F83,Internal!$B$26:$C$32,2,FALSE))</f>
        <v/>
      </c>
      <c r="O83" s="43" t="str">
        <f>IF(ISBLANK(M83), "", M83*VLOOKUP($F83,Internal!$B$26:$C$32,2,FALSE))</f>
        <v/>
      </c>
      <c r="P83" s="42"/>
    </row>
    <row r="84" spans="2:16" ht="9.4" customHeight="1" x14ac:dyDescent="0.35">
      <c r="B84" s="39">
        <v>74</v>
      </c>
      <c r="C84" s="40" t="str">
        <f>IF(ISBLANK(D84), "", _xlfn.CONCAT("T", TEXT(B84, "0000"), "/", VLOOKUP(D84, Internal!$B$35:C$39, 2, FALSE), IF(OR(D84="QA", D84="Revision"), _xlfn.CONCAT("/", H84), "")))</f>
        <v/>
      </c>
      <c r="D84" s="42"/>
      <c r="E84" s="41"/>
      <c r="F84" s="41"/>
      <c r="G84" s="42"/>
      <c r="H84" s="41"/>
      <c r="I84" s="44"/>
      <c r="J84" s="44"/>
      <c r="K84" s="43" t="str">
        <f t="shared" ca="1" si="0"/>
        <v/>
      </c>
      <c r="L84" s="45"/>
      <c r="M84" s="45"/>
      <c r="N84" s="43" t="str">
        <f>IF(ISBLANK(L84), "", L84*VLOOKUP($F84,Internal!$B$26:$C$32,2,FALSE))</f>
        <v/>
      </c>
      <c r="O84" s="43" t="str">
        <f>IF(ISBLANK(M84), "", M84*VLOOKUP($F84,Internal!$B$26:$C$32,2,FALSE))</f>
        <v/>
      </c>
      <c r="P84" s="42"/>
    </row>
    <row r="85" spans="2:16" ht="9.4" customHeight="1" x14ac:dyDescent="0.35">
      <c r="B85" s="39">
        <v>75</v>
      </c>
      <c r="C85" s="40" t="str">
        <f>IF(ISBLANK(D85), "", _xlfn.CONCAT("T", TEXT(B85, "0000"), "/", VLOOKUP(D85, Internal!$B$35:C$39, 2, FALSE), IF(OR(D85="QA", D85="Revision"), _xlfn.CONCAT("/", H85), "")))</f>
        <v/>
      </c>
      <c r="D85" s="42"/>
      <c r="E85" s="41"/>
      <c r="F85" s="41"/>
      <c r="G85" s="42"/>
      <c r="H85" s="41"/>
      <c r="I85" s="44"/>
      <c r="J85" s="44"/>
      <c r="K85" s="43" t="str">
        <f t="shared" ca="1" si="0"/>
        <v/>
      </c>
      <c r="L85" s="45"/>
      <c r="M85" s="45"/>
      <c r="N85" s="43" t="str">
        <f>IF(ISBLANK(L85), "", L85*VLOOKUP($F85,Internal!$B$26:$C$32,2,FALSE))</f>
        <v/>
      </c>
      <c r="O85" s="43" t="str">
        <f>IF(ISBLANK(M85), "", M85*VLOOKUP($F85,Internal!$B$26:$C$32,2,FALSE))</f>
        <v/>
      </c>
      <c r="P85" s="42"/>
    </row>
    <row r="86" spans="2:16" ht="9.4" customHeight="1" x14ac:dyDescent="0.35">
      <c r="B86" s="39">
        <v>76</v>
      </c>
      <c r="C86" s="40" t="str">
        <f>IF(ISBLANK(D86), "", _xlfn.CONCAT("T", TEXT(B86, "0000"), "/", VLOOKUP(D86, Internal!$B$35:C$39, 2, FALSE), IF(OR(D86="QA", D86="Revision"), _xlfn.CONCAT("/", H86), "")))</f>
        <v/>
      </c>
      <c r="D86" s="42"/>
      <c r="E86" s="41"/>
      <c r="F86" s="41"/>
      <c r="G86" s="42"/>
      <c r="H86" s="41"/>
      <c r="I86" s="44"/>
      <c r="J86" s="44"/>
      <c r="K86" s="43" t="str">
        <f t="shared" ca="1" si="0"/>
        <v/>
      </c>
      <c r="L86" s="45"/>
      <c r="M86" s="45"/>
      <c r="N86" s="43" t="str">
        <f>IF(ISBLANK(L86), "", L86*VLOOKUP($F86,Internal!$B$26:$C$32,2,FALSE))</f>
        <v/>
      </c>
      <c r="O86" s="43" t="str">
        <f>IF(ISBLANK(M86), "", M86*VLOOKUP($F86,Internal!$B$26:$C$32,2,FALSE))</f>
        <v/>
      </c>
      <c r="P86" s="42"/>
    </row>
    <row r="87" spans="2:16" ht="9.4" customHeight="1" x14ac:dyDescent="0.35">
      <c r="B87" s="39">
        <v>77</v>
      </c>
      <c r="C87" s="40" t="str">
        <f>IF(ISBLANK(D87), "", _xlfn.CONCAT("T", TEXT(B87, "0000"), "/", VLOOKUP(D87, Internal!$B$35:C$39, 2, FALSE), IF(OR(D87="QA", D87="Revision"), _xlfn.CONCAT("/", H87), "")))</f>
        <v/>
      </c>
      <c r="D87" s="42"/>
      <c r="E87" s="41"/>
      <c r="F87" s="41"/>
      <c r="G87" s="42"/>
      <c r="H87" s="41"/>
      <c r="I87" s="44"/>
      <c r="J87" s="44"/>
      <c r="K87" s="43" t="str">
        <f t="shared" ca="1" si="0"/>
        <v/>
      </c>
      <c r="L87" s="45"/>
      <c r="M87" s="45"/>
      <c r="N87" s="43" t="str">
        <f>IF(ISBLANK(L87), "", L87*VLOOKUP($F87,Internal!$B$26:$C$32,2,FALSE))</f>
        <v/>
      </c>
      <c r="O87" s="43" t="str">
        <f>IF(ISBLANK(M87), "", M87*VLOOKUP($F87,Internal!$B$26:$C$32,2,FALSE))</f>
        <v/>
      </c>
      <c r="P87" s="42"/>
    </row>
    <row r="88" spans="2:16" ht="9.4" customHeight="1" x14ac:dyDescent="0.35">
      <c r="B88" s="39">
        <v>78</v>
      </c>
      <c r="C88" s="40" t="str">
        <f>IF(ISBLANK(D88), "", _xlfn.CONCAT("T", TEXT(B88, "0000"), "/", VLOOKUP(D88, Internal!$B$35:C$39, 2, FALSE), IF(OR(D88="QA", D88="Revision"), _xlfn.CONCAT("/", H88), "")))</f>
        <v/>
      </c>
      <c r="D88" s="42"/>
      <c r="E88" s="41"/>
      <c r="F88" s="41"/>
      <c r="G88" s="42"/>
      <c r="H88" s="41"/>
      <c r="I88" s="44"/>
      <c r="J88" s="44"/>
      <c r="K88" s="43" t="str">
        <f t="shared" ca="1" si="0"/>
        <v/>
      </c>
      <c r="L88" s="45"/>
      <c r="M88" s="45"/>
      <c r="N88" s="43" t="str">
        <f>IF(ISBLANK(L88), "", L88*VLOOKUP($F88,Internal!$B$26:$C$32,2,FALSE))</f>
        <v/>
      </c>
      <c r="O88" s="43" t="str">
        <f>IF(ISBLANK(M88), "", M88*VLOOKUP($F88,Internal!$B$26:$C$32,2,FALSE))</f>
        <v/>
      </c>
      <c r="P88" s="42"/>
    </row>
    <row r="89" spans="2:16" ht="9.4" customHeight="1" x14ac:dyDescent="0.35">
      <c r="B89" s="39">
        <v>79</v>
      </c>
      <c r="C89" s="40" t="str">
        <f>IF(ISBLANK(D89), "", _xlfn.CONCAT("T", TEXT(B89, "0000"), "/", VLOOKUP(D89, Internal!$B$35:C$39, 2, FALSE), IF(OR(D89="QA", D89="Revision"), _xlfn.CONCAT("/", H89), "")))</f>
        <v/>
      </c>
      <c r="D89" s="42"/>
      <c r="E89" s="41"/>
      <c r="F89" s="41"/>
      <c r="G89" s="42"/>
      <c r="H89" s="41"/>
      <c r="I89" s="44"/>
      <c r="J89" s="44"/>
      <c r="K89" s="43" t="str">
        <f t="shared" ca="1" si="0"/>
        <v/>
      </c>
      <c r="L89" s="45"/>
      <c r="M89" s="45"/>
      <c r="N89" s="43" t="str">
        <f>IF(ISBLANK(L89), "", L89*VLOOKUP($F89,Internal!$B$26:$C$32,2,FALSE))</f>
        <v/>
      </c>
      <c r="O89" s="43" t="str">
        <f>IF(ISBLANK(M89), "", M89*VLOOKUP($F89,Internal!$B$26:$C$32,2,FALSE))</f>
        <v/>
      </c>
      <c r="P89" s="42"/>
    </row>
    <row r="90" spans="2:16" ht="9.4" customHeight="1" x14ac:dyDescent="0.35">
      <c r="B90" s="39">
        <v>80</v>
      </c>
      <c r="C90" s="40" t="str">
        <f>IF(ISBLANK(D90), "", _xlfn.CONCAT("T", TEXT(B90, "0000"), "/", VLOOKUP(D90, Internal!$B$35:C$39, 2, FALSE), IF(OR(D90="QA", D90="Revision"), _xlfn.CONCAT("/", H90), "")))</f>
        <v/>
      </c>
      <c r="D90" s="42"/>
      <c r="E90" s="41"/>
      <c r="F90" s="41"/>
      <c r="G90" s="42"/>
      <c r="H90" s="41"/>
      <c r="I90" s="44"/>
      <c r="J90" s="44"/>
      <c r="K90" s="43" t="str">
        <f t="shared" ca="1" si="0"/>
        <v/>
      </c>
      <c r="L90" s="45"/>
      <c r="M90" s="45"/>
      <c r="N90" s="43" t="str">
        <f>IF(ISBLANK(L90), "", L90*VLOOKUP($F90,Internal!$B$26:$C$32,2,FALSE))</f>
        <v/>
      </c>
      <c r="O90" s="43" t="str">
        <f>IF(ISBLANK(M90), "", M90*VLOOKUP($F90,Internal!$B$26:$C$32,2,FALSE))</f>
        <v/>
      </c>
      <c r="P90" s="42"/>
    </row>
    <row r="91" spans="2:16" ht="9.4" customHeight="1" x14ac:dyDescent="0.35">
      <c r="B91" s="39">
        <v>81</v>
      </c>
      <c r="C91" s="40" t="str">
        <f>IF(ISBLANK(D91), "", _xlfn.CONCAT("T", TEXT(B91, "0000"), "/", VLOOKUP(D91, Internal!$B$35:C$39, 2, FALSE), IF(OR(D91="QA", D91="Revision"), _xlfn.CONCAT("/", H91), "")))</f>
        <v/>
      </c>
      <c r="D91" s="42"/>
      <c r="E91" s="41"/>
      <c r="F91" s="41"/>
      <c r="G91" s="42"/>
      <c r="H91" s="41"/>
      <c r="I91" s="44"/>
      <c r="J91" s="44"/>
      <c r="K91" s="43" t="str">
        <f t="shared" ca="1" si="0"/>
        <v/>
      </c>
      <c r="L91" s="45"/>
      <c r="M91" s="45"/>
      <c r="N91" s="43" t="str">
        <f>IF(ISBLANK(L91), "", L91*VLOOKUP($F91,Internal!$B$26:$C$32,2,FALSE))</f>
        <v/>
      </c>
      <c r="O91" s="43" t="str">
        <f>IF(ISBLANK(M91), "", M91*VLOOKUP($F91,Internal!$B$26:$C$32,2,FALSE))</f>
        <v/>
      </c>
      <c r="P91" s="42"/>
    </row>
    <row r="92" spans="2:16" ht="9.4" customHeight="1" x14ac:dyDescent="0.35">
      <c r="B92" s="39">
        <v>82</v>
      </c>
      <c r="C92" s="40" t="str">
        <f>IF(ISBLANK(D92), "", _xlfn.CONCAT("T", TEXT(B92, "0000"), "/", VLOOKUP(D92, Internal!$B$35:C$39, 2, FALSE), IF(OR(D92="QA", D92="Revision"), _xlfn.CONCAT("/", H92), "")))</f>
        <v/>
      </c>
      <c r="D92" s="42"/>
      <c r="E92" s="41"/>
      <c r="F92" s="41"/>
      <c r="G92" s="42"/>
      <c r="H92" s="41"/>
      <c r="I92" s="44"/>
      <c r="J92" s="44"/>
      <c r="K92" s="43" t="str">
        <f t="shared" ca="1" si="0"/>
        <v/>
      </c>
      <c r="L92" s="45"/>
      <c r="M92" s="45"/>
      <c r="N92" s="43" t="str">
        <f>IF(ISBLANK(L92), "", L92*VLOOKUP($F92,Internal!$B$26:$C$32,2,FALSE))</f>
        <v/>
      </c>
      <c r="O92" s="43" t="str">
        <f>IF(ISBLANK(M92), "", M92*VLOOKUP($F92,Internal!$B$26:$C$32,2,FALSE))</f>
        <v/>
      </c>
      <c r="P92" s="42"/>
    </row>
    <row r="93" spans="2:16" ht="9.4" customHeight="1" x14ac:dyDescent="0.35">
      <c r="B93" s="39">
        <v>83</v>
      </c>
      <c r="C93" s="40" t="str">
        <f>IF(ISBLANK(D93), "", _xlfn.CONCAT("T", TEXT(B93, "0000"), "/", VLOOKUP(D93, Internal!$B$35:C$39, 2, FALSE), IF(OR(D93="QA", D93="Revision"), _xlfn.CONCAT("/", H93), "")))</f>
        <v/>
      </c>
      <c r="D93" s="42"/>
      <c r="E93" s="41"/>
      <c r="F93" s="41"/>
      <c r="G93" s="42"/>
      <c r="H93" s="41"/>
      <c r="I93" s="44"/>
      <c r="J93" s="44"/>
      <c r="K93" s="43" t="str">
        <f t="shared" ca="1" si="0"/>
        <v/>
      </c>
      <c r="L93" s="45"/>
      <c r="M93" s="45"/>
      <c r="N93" s="43" t="str">
        <f>IF(ISBLANK(L93), "", L93*VLOOKUP($F93,Internal!$B$26:$C$32,2,FALSE))</f>
        <v/>
      </c>
      <c r="O93" s="43" t="str">
        <f>IF(ISBLANK(M93), "", M93*VLOOKUP($F93,Internal!$B$26:$C$32,2,FALSE))</f>
        <v/>
      </c>
      <c r="P93" s="42"/>
    </row>
    <row r="94" spans="2:16" ht="9.4" customHeight="1" x14ac:dyDescent="0.35">
      <c r="B94" s="39">
        <v>84</v>
      </c>
      <c r="C94" s="40" t="str">
        <f>IF(ISBLANK(D94), "", _xlfn.CONCAT("T", TEXT(B94, "0000"), "/", VLOOKUP(D94, Internal!$B$35:C$39, 2, FALSE), IF(OR(D94="QA", D94="Revision"), _xlfn.CONCAT("/", H94), "")))</f>
        <v/>
      </c>
      <c r="D94" s="42"/>
      <c r="E94" s="41"/>
      <c r="F94" s="41"/>
      <c r="G94" s="42"/>
      <c r="H94" s="41"/>
      <c r="I94" s="44"/>
      <c r="J94" s="44"/>
      <c r="K94" s="43" t="str">
        <f t="shared" ca="1" si="0"/>
        <v/>
      </c>
      <c r="L94" s="45"/>
      <c r="M94" s="45"/>
      <c r="N94" s="43" t="str">
        <f>IF(ISBLANK(L94), "", L94*VLOOKUP($F94,Internal!$B$26:$C$32,2,FALSE))</f>
        <v/>
      </c>
      <c r="O94" s="43" t="str">
        <f>IF(ISBLANK(M94), "", M94*VLOOKUP($F94,Internal!$B$26:$C$32,2,FALSE))</f>
        <v/>
      </c>
      <c r="P94" s="42"/>
    </row>
    <row r="95" spans="2:16" ht="9.4" customHeight="1" x14ac:dyDescent="0.35">
      <c r="B95" s="39">
        <v>85</v>
      </c>
      <c r="C95" s="40" t="str">
        <f>IF(ISBLANK(D95), "", _xlfn.CONCAT("T", TEXT(B95, "0000"), "/", VLOOKUP(D95, Internal!$B$35:C$39, 2, FALSE), IF(OR(D95="QA", D95="Revision"), _xlfn.CONCAT("/", H95), "")))</f>
        <v/>
      </c>
      <c r="D95" s="42"/>
      <c r="E95" s="41"/>
      <c r="F95" s="41"/>
      <c r="G95" s="42"/>
      <c r="H95" s="41"/>
      <c r="I95" s="44"/>
      <c r="J95" s="44"/>
      <c r="K95" s="43" t="str">
        <f t="shared" ca="1" si="0"/>
        <v/>
      </c>
      <c r="L95" s="45"/>
      <c r="M95" s="45"/>
      <c r="N95" s="43" t="str">
        <f>IF(ISBLANK(L95), "", L95*VLOOKUP($F95,Internal!$B$26:$C$32,2,FALSE))</f>
        <v/>
      </c>
      <c r="O95" s="43" t="str">
        <f>IF(ISBLANK(M95), "", M95*VLOOKUP($F95,Internal!$B$26:$C$32,2,FALSE))</f>
        <v/>
      </c>
      <c r="P95" s="42"/>
    </row>
    <row r="96" spans="2:16" ht="9.4" customHeight="1" x14ac:dyDescent="0.35">
      <c r="B96" s="39">
        <v>86</v>
      </c>
      <c r="C96" s="40" t="str">
        <f>IF(ISBLANK(D96), "", _xlfn.CONCAT("T", TEXT(B96, "0000"), "/", VLOOKUP(D96, Internal!$B$35:C$39, 2, FALSE), IF(OR(D96="QA", D96="Revision"), _xlfn.CONCAT("/", H96), "")))</f>
        <v/>
      </c>
      <c r="D96" s="42"/>
      <c r="E96" s="41"/>
      <c r="F96" s="41"/>
      <c r="G96" s="42"/>
      <c r="H96" s="41"/>
      <c r="I96" s="44"/>
      <c r="J96" s="44"/>
      <c r="K96" s="43" t="str">
        <f t="shared" ca="1" si="0"/>
        <v/>
      </c>
      <c r="L96" s="45"/>
      <c r="M96" s="45"/>
      <c r="N96" s="43" t="str">
        <f>IF(ISBLANK(L96), "", L96*VLOOKUP($F96,Internal!$B$26:$C$32,2,FALSE))</f>
        <v/>
      </c>
      <c r="O96" s="43" t="str">
        <f>IF(ISBLANK(M96), "", M96*VLOOKUP($F96,Internal!$B$26:$C$32,2,FALSE))</f>
        <v/>
      </c>
      <c r="P96" s="42"/>
    </row>
    <row r="97" spans="2:16" ht="9.4" customHeight="1" x14ac:dyDescent="0.35">
      <c r="B97" s="39">
        <v>87</v>
      </c>
      <c r="C97" s="40" t="str">
        <f>IF(ISBLANK(D97), "", _xlfn.CONCAT("T", TEXT(B97, "0000"), "/", VLOOKUP(D97, Internal!$B$35:C$39, 2, FALSE), IF(OR(D97="QA", D97="Revision"), _xlfn.CONCAT("/", H97), "")))</f>
        <v/>
      </c>
      <c r="D97" s="42"/>
      <c r="E97" s="41"/>
      <c r="F97" s="41"/>
      <c r="G97" s="42"/>
      <c r="H97" s="41"/>
      <c r="I97" s="44"/>
      <c r="J97" s="44"/>
      <c r="K97" s="43" t="str">
        <f t="shared" ca="1" si="0"/>
        <v/>
      </c>
      <c r="L97" s="45"/>
      <c r="M97" s="45"/>
      <c r="N97" s="43" t="str">
        <f>IF(ISBLANK(L97), "", L97*VLOOKUP($F97,Internal!$B$26:$C$32,2,FALSE))</f>
        <v/>
      </c>
      <c r="O97" s="43" t="str">
        <f>IF(ISBLANK(M97), "", M97*VLOOKUP($F97,Internal!$B$26:$C$32,2,FALSE))</f>
        <v/>
      </c>
      <c r="P97" s="42"/>
    </row>
    <row r="98" spans="2:16" ht="9.4" customHeight="1" x14ac:dyDescent="0.35">
      <c r="B98" s="39">
        <v>88</v>
      </c>
      <c r="C98" s="40" t="str">
        <f>IF(ISBLANK(D98), "", _xlfn.CONCAT("T", TEXT(B98, "0000"), "/", VLOOKUP(D98, Internal!$B$35:C$39, 2, FALSE), IF(OR(D98="QA", D98="Revision"), _xlfn.CONCAT("/", H98), "")))</f>
        <v/>
      </c>
      <c r="D98" s="42"/>
      <c r="E98" s="41"/>
      <c r="F98" s="41"/>
      <c r="G98" s="42"/>
      <c r="H98" s="41"/>
      <c r="I98" s="44"/>
      <c r="J98" s="44"/>
      <c r="K98" s="43" t="str">
        <f t="shared" ca="1" si="0"/>
        <v/>
      </c>
      <c r="L98" s="45"/>
      <c r="M98" s="45"/>
      <c r="N98" s="43" t="str">
        <f>IF(ISBLANK(L98), "", L98*VLOOKUP($F98,Internal!$B$26:$C$32,2,FALSE))</f>
        <v/>
      </c>
      <c r="O98" s="43" t="str">
        <f>IF(ISBLANK(M98), "", M98*VLOOKUP($F98,Internal!$B$26:$C$32,2,FALSE))</f>
        <v/>
      </c>
      <c r="P98" s="42"/>
    </row>
    <row r="99" spans="2:16" ht="9.4" customHeight="1" x14ac:dyDescent="0.35">
      <c r="B99" s="39">
        <v>89</v>
      </c>
      <c r="C99" s="40" t="str">
        <f>IF(ISBLANK(D99), "", _xlfn.CONCAT("T", TEXT(B99, "0000"), "/", VLOOKUP(D99, Internal!$B$35:C$39, 2, FALSE), IF(OR(D99="QA", D99="Revision"), _xlfn.CONCAT("/", H99), "")))</f>
        <v/>
      </c>
      <c r="D99" s="42"/>
      <c r="E99" s="41"/>
      <c r="F99" s="41"/>
      <c r="G99" s="42"/>
      <c r="H99" s="41"/>
      <c r="I99" s="44"/>
      <c r="J99" s="44"/>
      <c r="K99" s="43" t="str">
        <f t="shared" ca="1" si="0"/>
        <v/>
      </c>
      <c r="L99" s="45"/>
      <c r="M99" s="45"/>
      <c r="N99" s="43" t="str">
        <f>IF(ISBLANK(L99), "", L99*VLOOKUP($F99,Internal!$B$26:$C$32,2,FALSE))</f>
        <v/>
      </c>
      <c r="O99" s="43" t="str">
        <f>IF(ISBLANK(M99), "", M99*VLOOKUP($F99,Internal!$B$26:$C$32,2,FALSE))</f>
        <v/>
      </c>
      <c r="P99" s="42"/>
    </row>
    <row r="100" spans="2:16" ht="9.4" customHeight="1" x14ac:dyDescent="0.35">
      <c r="B100" s="39">
        <v>90</v>
      </c>
      <c r="C100" s="40" t="str">
        <f>IF(ISBLANK(D100), "", _xlfn.CONCAT("T", TEXT(B100, "0000"), "/", VLOOKUP(D100, Internal!$B$35:C$39, 2, FALSE), IF(OR(D100="QA", D100="Revision"), _xlfn.CONCAT("/", H100), "")))</f>
        <v/>
      </c>
      <c r="D100" s="42"/>
      <c r="E100" s="41"/>
      <c r="F100" s="41"/>
      <c r="G100" s="42"/>
      <c r="H100" s="41"/>
      <c r="I100" s="44"/>
      <c r="J100" s="44"/>
      <c r="K100" s="43" t="str">
        <f t="shared" ca="1" si="0"/>
        <v/>
      </c>
      <c r="L100" s="45"/>
      <c r="M100" s="45"/>
      <c r="N100" s="43" t="str">
        <f>IF(ISBLANK(L100), "", L100*VLOOKUP($F100,Internal!$B$26:$C$32,2,FALSE))</f>
        <v/>
      </c>
      <c r="O100" s="43" t="str">
        <f>IF(ISBLANK(M100), "", M100*VLOOKUP($F100,Internal!$B$26:$C$32,2,FALSE))</f>
        <v/>
      </c>
      <c r="P100" s="42"/>
    </row>
    <row r="101" spans="2:16" ht="9.4" customHeight="1" x14ac:dyDescent="0.35">
      <c r="B101" s="39">
        <v>91</v>
      </c>
      <c r="C101" s="40" t="str">
        <f>IF(ISBLANK(D101), "", _xlfn.CONCAT("T", TEXT(B101, "0000"), "/", VLOOKUP(D101, Internal!$B$35:C$39, 2, FALSE), IF(OR(D101="QA", D101="Revision"), _xlfn.CONCAT("/", H101), "")))</f>
        <v/>
      </c>
      <c r="D101" s="42"/>
      <c r="E101" s="41"/>
      <c r="F101" s="41"/>
      <c r="G101" s="42"/>
      <c r="H101" s="41"/>
      <c r="I101" s="44"/>
      <c r="J101" s="44"/>
      <c r="K101" s="43" t="str">
        <f t="shared" ca="1" si="0"/>
        <v/>
      </c>
      <c r="L101" s="45"/>
      <c r="M101" s="45"/>
      <c r="N101" s="43" t="str">
        <f>IF(ISBLANK(L101), "", L101*VLOOKUP($F101,Internal!$B$26:$C$32,2,FALSE))</f>
        <v/>
      </c>
      <c r="O101" s="43" t="str">
        <f>IF(ISBLANK(M101), "", M101*VLOOKUP($F101,Internal!$B$26:$C$32,2,FALSE))</f>
        <v/>
      </c>
      <c r="P101" s="42"/>
    </row>
    <row r="102" spans="2:16" ht="9.4" customHeight="1" x14ac:dyDescent="0.35">
      <c r="B102" s="39">
        <v>92</v>
      </c>
      <c r="C102" s="40" t="str">
        <f>IF(ISBLANK(D102), "", _xlfn.CONCAT("T", TEXT(B102, "0000"), "/", VLOOKUP(D102, Internal!$B$35:C$39, 2, FALSE), IF(OR(D102="QA", D102="Revision"), _xlfn.CONCAT("/", H102), "")))</f>
        <v/>
      </c>
      <c r="D102" s="42"/>
      <c r="E102" s="41"/>
      <c r="F102" s="41"/>
      <c r="G102" s="42"/>
      <c r="H102" s="41"/>
      <c r="I102" s="44"/>
      <c r="J102" s="44"/>
      <c r="K102" s="43" t="str">
        <f t="shared" ca="1" si="0"/>
        <v/>
      </c>
      <c r="L102" s="45"/>
      <c r="M102" s="45"/>
      <c r="N102" s="43" t="str">
        <f>IF(ISBLANK(L102), "", L102*VLOOKUP($F102,Internal!$B$26:$C$32,2,FALSE))</f>
        <v/>
      </c>
      <c r="O102" s="43" t="str">
        <f>IF(ISBLANK(M102), "", M102*VLOOKUP($F102,Internal!$B$26:$C$32,2,FALSE))</f>
        <v/>
      </c>
      <c r="P102" s="42"/>
    </row>
    <row r="103" spans="2:16" ht="9.4" customHeight="1" x14ac:dyDescent="0.35">
      <c r="B103" s="39">
        <v>93</v>
      </c>
      <c r="C103" s="40" t="str">
        <f>IF(ISBLANK(D103), "", _xlfn.CONCAT("T", TEXT(B103, "0000"), "/", VLOOKUP(D103, Internal!$B$35:C$39, 2, FALSE), IF(OR(D103="QA", D103="Revision"), _xlfn.CONCAT("/", H103), "")))</f>
        <v/>
      </c>
      <c r="D103" s="42"/>
      <c r="E103" s="41"/>
      <c r="F103" s="41"/>
      <c r="G103" s="42"/>
      <c r="H103" s="41"/>
      <c r="I103" s="44"/>
      <c r="J103" s="44"/>
      <c r="K103" s="43" t="str">
        <f t="shared" ca="1" si="0"/>
        <v/>
      </c>
      <c r="L103" s="45"/>
      <c r="M103" s="45"/>
      <c r="N103" s="43" t="str">
        <f>IF(ISBLANK(L103), "", L103*VLOOKUP($F103,Internal!$B$26:$C$32,2,FALSE))</f>
        <v/>
      </c>
      <c r="O103" s="43" t="str">
        <f>IF(ISBLANK(M103), "", M103*VLOOKUP($F103,Internal!$B$26:$C$32,2,FALSE))</f>
        <v/>
      </c>
      <c r="P103" s="42"/>
    </row>
    <row r="104" spans="2:16" ht="9.4" customHeight="1" x14ac:dyDescent="0.35">
      <c r="B104" s="39">
        <v>94</v>
      </c>
      <c r="C104" s="40" t="str">
        <f>IF(ISBLANK(D104), "", _xlfn.CONCAT("T", TEXT(B104, "0000"), "/", VLOOKUP(D104, Internal!$B$35:C$39, 2, FALSE), IF(OR(D104="QA", D104="Revision"), _xlfn.CONCAT("/", H104), "")))</f>
        <v/>
      </c>
      <c r="D104" s="42"/>
      <c r="E104" s="41"/>
      <c r="F104" s="41"/>
      <c r="G104" s="42"/>
      <c r="H104" s="41"/>
      <c r="I104" s="44"/>
      <c r="J104" s="44"/>
      <c r="K104" s="43" t="str">
        <f t="shared" ca="1" si="0"/>
        <v/>
      </c>
      <c r="L104" s="45"/>
      <c r="M104" s="45"/>
      <c r="N104" s="43" t="str">
        <f>IF(ISBLANK(L104), "", L104*VLOOKUP($F104,Internal!$B$26:$C$32,2,FALSE))</f>
        <v/>
      </c>
      <c r="O104" s="43" t="str">
        <f>IF(ISBLANK(M104), "", M104*VLOOKUP($F104,Internal!$B$26:$C$32,2,FALSE))</f>
        <v/>
      </c>
      <c r="P104" s="42"/>
    </row>
    <row r="105" spans="2:16" ht="9.4" customHeight="1" x14ac:dyDescent="0.35">
      <c r="B105" s="39">
        <v>95</v>
      </c>
      <c r="C105" s="40" t="str">
        <f>IF(ISBLANK(D105), "", _xlfn.CONCAT("T", TEXT(B105, "0000"), "/", VLOOKUP(D105, Internal!$B$35:C$39, 2, FALSE), IF(OR(D105="QA", D105="Revision"), _xlfn.CONCAT("/", H105), "")))</f>
        <v/>
      </c>
      <c r="D105" s="42"/>
      <c r="E105" s="41"/>
      <c r="F105" s="41"/>
      <c r="G105" s="42"/>
      <c r="H105" s="41"/>
      <c r="I105" s="44"/>
      <c r="J105" s="44"/>
      <c r="K105" s="43" t="str">
        <f t="shared" ca="1" si="0"/>
        <v/>
      </c>
      <c r="L105" s="45"/>
      <c r="M105" s="45"/>
      <c r="N105" s="43" t="str">
        <f>IF(ISBLANK(L105), "", L105*VLOOKUP($F105,Internal!$B$26:$C$32,2,FALSE))</f>
        <v/>
      </c>
      <c r="O105" s="43" t="str">
        <f>IF(ISBLANK(M105), "", M105*VLOOKUP($F105,Internal!$B$26:$C$32,2,FALSE))</f>
        <v/>
      </c>
      <c r="P105" s="42"/>
    </row>
    <row r="106" spans="2:16" ht="9.4" customHeight="1" x14ac:dyDescent="0.35">
      <c r="B106" s="39">
        <v>96</v>
      </c>
      <c r="C106" s="40" t="str">
        <f>IF(ISBLANK(D106), "", _xlfn.CONCAT("T", TEXT(B106, "0000"), "/", VLOOKUP(D106, Internal!$B$35:C$39, 2, FALSE), IF(OR(D106="QA", D106="Revision"), _xlfn.CONCAT("/", H106), "")))</f>
        <v/>
      </c>
      <c r="D106" s="42"/>
      <c r="E106" s="41"/>
      <c r="F106" s="41"/>
      <c r="G106" s="42"/>
      <c r="H106" s="41"/>
      <c r="I106" s="44"/>
      <c r="J106" s="44"/>
      <c r="K106" s="43" t="str">
        <f t="shared" ca="1" si="0"/>
        <v/>
      </c>
      <c r="L106" s="45"/>
      <c r="M106" s="45"/>
      <c r="N106" s="43" t="str">
        <f>IF(ISBLANK(L106), "", L106*VLOOKUP($F106,Internal!$B$26:$C$32,2,FALSE))</f>
        <v/>
      </c>
      <c r="O106" s="43" t="str">
        <f>IF(ISBLANK(M106), "", M106*VLOOKUP($F106,Internal!$B$26:$C$32,2,FALSE))</f>
        <v/>
      </c>
      <c r="P106" s="42"/>
    </row>
    <row r="107" spans="2:16" ht="9.4" customHeight="1" x14ac:dyDescent="0.35">
      <c r="B107" s="39">
        <v>97</v>
      </c>
      <c r="C107" s="40" t="str">
        <f>IF(ISBLANK(D107), "", _xlfn.CONCAT("T", TEXT(B107, "0000"), "/", VLOOKUP(D107, Internal!$B$35:C$39, 2, FALSE), IF(OR(D107="QA", D107="Revision"), _xlfn.CONCAT("/", H107), "")))</f>
        <v/>
      </c>
      <c r="D107" s="42"/>
      <c r="E107" s="41"/>
      <c r="F107" s="41"/>
      <c r="G107" s="42"/>
      <c r="H107" s="41"/>
      <c r="I107" s="44"/>
      <c r="J107" s="44"/>
      <c r="K107" s="43" t="str">
        <f t="shared" ca="1" si="0"/>
        <v/>
      </c>
      <c r="L107" s="45"/>
      <c r="M107" s="45"/>
      <c r="N107" s="43" t="str">
        <f>IF(ISBLANK(L107), "", L107*VLOOKUP($F107,Internal!$B$26:$C$32,2,FALSE))</f>
        <v/>
      </c>
      <c r="O107" s="43" t="str">
        <f>IF(ISBLANK(M107), "", M107*VLOOKUP($F107,Internal!$B$26:$C$32,2,FALSE))</f>
        <v/>
      </c>
      <c r="P107" s="42"/>
    </row>
    <row r="108" spans="2:16" ht="9.4" customHeight="1" x14ac:dyDescent="0.35">
      <c r="B108" s="39">
        <v>98</v>
      </c>
      <c r="C108" s="40" t="str">
        <f>IF(ISBLANK(D108), "", _xlfn.CONCAT("T", TEXT(B108, "0000"), "/", VLOOKUP(D108, Internal!$B$35:C$39, 2, FALSE), IF(OR(D108="QA", D108="Revision"), _xlfn.CONCAT("/", H108), "")))</f>
        <v/>
      </c>
      <c r="D108" s="42"/>
      <c r="E108" s="41"/>
      <c r="F108" s="41"/>
      <c r="G108" s="42"/>
      <c r="H108" s="41"/>
      <c r="I108" s="44"/>
      <c r="J108" s="44"/>
      <c r="K108" s="43" t="str">
        <f t="shared" ca="1" si="0"/>
        <v/>
      </c>
      <c r="L108" s="45"/>
      <c r="M108" s="45"/>
      <c r="N108" s="43" t="str">
        <f>IF(ISBLANK(L108), "", L108*VLOOKUP($F108,Internal!$B$26:$C$32,2,FALSE))</f>
        <v/>
      </c>
      <c r="O108" s="43" t="str">
        <f>IF(ISBLANK(M108), "", M108*VLOOKUP($F108,Internal!$B$26:$C$32,2,FALSE))</f>
        <v/>
      </c>
      <c r="P108" s="42"/>
    </row>
    <row r="109" spans="2:16" ht="9.4" customHeight="1" x14ac:dyDescent="0.35">
      <c r="B109" s="39">
        <v>99</v>
      </c>
      <c r="C109" s="40" t="str">
        <f>IF(ISBLANK(D109), "", _xlfn.CONCAT("T", TEXT(B109, "0000"), "/", VLOOKUP(D109, Internal!$B$35:C$39, 2, FALSE), IF(OR(D109="QA", D109="Revision"), _xlfn.CONCAT("/", H109), "")))</f>
        <v/>
      </c>
      <c r="D109" s="42"/>
      <c r="E109" s="41"/>
      <c r="F109" s="41"/>
      <c r="G109" s="42"/>
      <c r="H109" s="41"/>
      <c r="I109" s="44"/>
      <c r="J109" s="44"/>
      <c r="K109" s="43" t="str">
        <f t="shared" ca="1" si="0"/>
        <v/>
      </c>
      <c r="L109" s="45"/>
      <c r="M109" s="45"/>
      <c r="N109" s="43" t="str">
        <f>IF(ISBLANK(L109), "", L109*VLOOKUP($F109,Internal!$B$26:$C$32,2,FALSE))</f>
        <v/>
      </c>
      <c r="O109" s="43" t="str">
        <f>IF(ISBLANK(M109), "", M109*VLOOKUP($F109,Internal!$B$26:$C$32,2,FALSE))</f>
        <v/>
      </c>
      <c r="P109" s="42"/>
    </row>
    <row r="110" spans="2:16" ht="9.4" customHeight="1" x14ac:dyDescent="0.35">
      <c r="B110" s="39">
        <v>100</v>
      </c>
      <c r="C110" s="40" t="str">
        <f>IF(ISBLANK(D110), "", _xlfn.CONCAT("T", TEXT(B110, "0000"), "/", VLOOKUP(D110, Internal!$B$35:C$39, 2, FALSE), IF(OR(D110="QA", D110="Revision"), _xlfn.CONCAT("/", H110), "")))</f>
        <v/>
      </c>
      <c r="D110" s="42"/>
      <c r="E110" s="41"/>
      <c r="F110" s="41"/>
      <c r="G110" s="42"/>
      <c r="H110" s="41"/>
      <c r="I110" s="44"/>
      <c r="J110" s="44"/>
      <c r="K110" s="43" t="str">
        <f t="shared" ca="1" si="0"/>
        <v/>
      </c>
      <c r="L110" s="45"/>
      <c r="M110" s="45"/>
      <c r="N110" s="43" t="str">
        <f>IF(ISBLANK(L110), "", L110*VLOOKUP($F110,Internal!$B$26:$C$32,2,FALSE))</f>
        <v/>
      </c>
      <c r="O110" s="43" t="str">
        <f>IF(ISBLANK(M110), "", M110*VLOOKUP($F110,Internal!$B$26:$C$32,2,FALSE))</f>
        <v/>
      </c>
      <c r="P110" s="42"/>
    </row>
  </sheetData>
  <mergeCells count="6">
    <mergeCell ref="N9:O9"/>
    <mergeCell ref="C4:P4"/>
    <mergeCell ref="C2:P2"/>
    <mergeCell ref="C6:C7"/>
    <mergeCell ref="I9:J9"/>
    <mergeCell ref="L9:M9"/>
  </mergeCells>
  <conditionalFormatting sqref="H11:H110">
    <cfRule type="expression" dxfId="5" priority="2">
      <formula>AND(H11&lt;&gt;"",COUNTIF($C$11:$C$110,H11)=0)</formula>
    </cfRule>
  </conditionalFormatting>
  <conditionalFormatting sqref="J11:J110">
    <cfRule type="expression" dxfId="4" priority="1">
      <formula>AND(I11&lt;&gt;"",J11&lt;&gt;"", I11&gt;J11)</formula>
    </cfRule>
  </conditionalFormatting>
  <dataValidations count="9">
    <dataValidation type="decimal" allowBlank="1" showInputMessage="1" showErrorMessage="1" promptTitle="Expected workload" prompt="Enter the expected workload in hours or fractions." sqref="M61:M76 L11:L110" xr:uid="{00000000-0002-0000-0200-000000000000}">
      <formula1>0</formula1>
      <formula2>1024</formula2>
    </dataValidation>
    <dataValidation allowBlank="1" showInputMessage="1" showErrorMessage="1" promptTitle="Description" prompt="Provide a succint description of the task.  If not possible, the provide a link to a document where is is described." sqref="P10" xr:uid="{00000000-0002-0000-0200-000001000000}"/>
    <dataValidation allowBlank="1" showInputMessage="1" showErrorMessage="1" promptTitle="Actual workload" prompt="Enter the actual workload in hours or fractions._x000a_" sqref="M11:M60 M77:M110" xr:uid="{00000000-0002-0000-0200-000002000000}"/>
    <dataValidation allowBlank="1" showInputMessage="1" showErrorMessage="1" promptTitle="Description" prompt="If actually necessary, then write a succint description and/or include a link to a document that provides further information." sqref="P11:P110 K11:K110" xr:uid="{00000000-0002-0000-0200-000003000000}"/>
    <dataValidation allowBlank="1" showInputMessage="1" showErrorMessage="1" promptTitle="Costs" prompt="The costs are updated automatically.  Don't modify them manually" sqref="N11:O110" xr:uid="{00000000-0002-0000-0200-000004000000}"/>
    <dataValidation allowBlank="1" showInputMessage="1" showErrorMessage="1" promptTitle="ID" prompt="The IDs are updated automatically.  Don't modify them manually" sqref="C11:C110" xr:uid="{00000000-0002-0000-0200-000005000000}"/>
    <dataValidation allowBlank="1" showInputMessage="1" showErrorMessage="1" promptTitle="ORDER" prompt="Order numbers are internal data.  Do not change them._x000a_" sqref="B11:B110" xr:uid="{00000000-0002-0000-0200-000006000000}"/>
    <dataValidation type="list" allowBlank="1" showInputMessage="1" showErrorMessage="1" promptTitle="Activity" prompt="Select the Activity to perfom.  Use &quot;Other&quot; only in truly exceptional cases." sqref="G11:G110" xr:uid="{00000000-0002-0000-0200-000007000000}">
      <formula1>INDIRECT(F11)</formula1>
    </dataValidation>
    <dataValidation type="list" allowBlank="1" showInputMessage="1" showErrorMessage="1" promptTitle="Parent" prompt="Select the parent task if necessary.  Usually, only &quot;Quality Assurance&quot; and &quot;Revision&quot; tasks have parents." sqref="H11:H110" xr:uid="{00000000-0002-0000-0200-000008000000}">
      <formula1>$C$11:$C$110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10"/>
  <sheetViews>
    <sheetView workbookViewId="0"/>
  </sheetViews>
  <sheetFormatPr defaultColWidth="8.7265625" defaultRowHeight="14.5" x14ac:dyDescent="0.35"/>
  <cols>
    <col min="3" max="15" width="18.81640625" customWidth="1"/>
    <col min="16" max="16" width="64.54296875" customWidth="1"/>
  </cols>
  <sheetData>
    <row r="2" spans="2:16" ht="9.4" customHeight="1" x14ac:dyDescent="0.35">
      <c r="C2" s="53" t="s">
        <v>180</v>
      </c>
      <c r="D2" s="55"/>
      <c r="E2" s="55"/>
      <c r="F2" s="55"/>
      <c r="G2" s="55"/>
      <c r="H2" s="55"/>
      <c r="I2" s="55"/>
      <c r="J2" s="55"/>
      <c r="K2" s="55"/>
      <c r="L2" s="55"/>
      <c r="M2" s="55"/>
      <c r="N2" s="55"/>
      <c r="O2" s="55"/>
      <c r="P2" s="55"/>
    </row>
    <row r="4" spans="2:16" ht="10" customHeight="1" x14ac:dyDescent="0.35">
      <c r="C4" s="51" t="s">
        <v>10</v>
      </c>
      <c r="D4" s="55"/>
      <c r="E4" s="55"/>
      <c r="F4" s="55"/>
      <c r="G4" s="55"/>
      <c r="H4" s="55"/>
      <c r="I4" s="55"/>
      <c r="J4" s="55"/>
      <c r="K4" s="55"/>
      <c r="L4" s="55"/>
      <c r="M4" s="55"/>
      <c r="N4" s="55"/>
      <c r="O4" s="55"/>
      <c r="P4" s="55"/>
    </row>
    <row r="5" spans="2:16" x14ac:dyDescent="0.35">
      <c r="C5" s="5"/>
      <c r="D5" s="5"/>
      <c r="E5" s="5"/>
      <c r="F5" s="5"/>
      <c r="G5" s="5"/>
      <c r="H5" s="5"/>
      <c r="I5" s="5"/>
      <c r="J5" s="5"/>
      <c r="K5" s="5"/>
      <c r="L5" s="5"/>
      <c r="M5" s="5"/>
      <c r="N5" s="5"/>
      <c r="O5" s="5"/>
      <c r="P5" s="5"/>
    </row>
    <row r="6" spans="2:16" ht="9.4" customHeight="1" x14ac:dyDescent="0.35">
      <c r="C6" s="57" t="s">
        <v>11</v>
      </c>
      <c r="D6" s="10" t="s">
        <v>12</v>
      </c>
      <c r="E6" s="34">
        <f>SUM(N11:N110)</f>
        <v>0</v>
      </c>
      <c r="F6" s="5"/>
      <c r="G6" s="5"/>
      <c r="H6" s="5"/>
      <c r="I6" s="5"/>
      <c r="J6" s="5"/>
      <c r="K6" s="5"/>
      <c r="L6" s="5"/>
      <c r="M6" s="5"/>
      <c r="N6" s="5"/>
      <c r="O6" s="5"/>
      <c r="P6" s="5"/>
    </row>
    <row r="7" spans="2:16" ht="9.4" customHeight="1" x14ac:dyDescent="0.35">
      <c r="C7" s="55"/>
      <c r="D7" s="11" t="s">
        <v>13</v>
      </c>
      <c r="E7" s="35">
        <f>SUM(O11:O110)</f>
        <v>0</v>
      </c>
      <c r="J7" s="36"/>
    </row>
    <row r="9" spans="2:16" ht="9.4" customHeight="1" x14ac:dyDescent="0.35">
      <c r="B9" s="6"/>
      <c r="C9" s="7"/>
      <c r="D9" s="7"/>
      <c r="E9" s="7"/>
      <c r="F9" s="7"/>
      <c r="G9" s="7"/>
      <c r="H9" s="7"/>
      <c r="I9" s="56" t="s">
        <v>14</v>
      </c>
      <c r="J9" s="55"/>
      <c r="K9" s="7"/>
      <c r="L9" s="56" t="s">
        <v>15</v>
      </c>
      <c r="M9" s="55"/>
      <c r="N9" s="56" t="s">
        <v>16</v>
      </c>
      <c r="O9" s="55"/>
      <c r="P9" s="7"/>
    </row>
    <row r="10" spans="2:16" ht="9.65" customHeight="1" x14ac:dyDescent="0.35">
      <c r="B10" s="8" t="s">
        <v>17</v>
      </c>
      <c r="C10" s="8" t="s">
        <v>18</v>
      </c>
      <c r="D10" s="9" t="s">
        <v>19</v>
      </c>
      <c r="E10" s="9" t="s">
        <v>20</v>
      </c>
      <c r="F10" s="9" t="s">
        <v>21</v>
      </c>
      <c r="G10" s="9" t="s">
        <v>22</v>
      </c>
      <c r="H10" s="8" t="s">
        <v>23</v>
      </c>
      <c r="I10" s="37" t="s">
        <v>24</v>
      </c>
      <c r="J10" s="37" t="s">
        <v>25</v>
      </c>
      <c r="K10" s="9" t="s">
        <v>26</v>
      </c>
      <c r="L10" s="37" t="s">
        <v>27</v>
      </c>
      <c r="M10" s="37" t="s">
        <v>28</v>
      </c>
      <c r="N10" s="37" t="s">
        <v>27</v>
      </c>
      <c r="O10" s="37" t="s">
        <v>28</v>
      </c>
      <c r="P10" s="9" t="s">
        <v>29</v>
      </c>
    </row>
    <row r="11" spans="2:16" ht="9.4" customHeight="1" x14ac:dyDescent="0.35">
      <c r="B11" s="39">
        <v>1</v>
      </c>
      <c r="C11" s="40" t="s">
        <v>30</v>
      </c>
      <c r="D11" s="42" t="s">
        <v>31</v>
      </c>
      <c r="E11" s="41" t="s">
        <v>32</v>
      </c>
      <c r="F11" s="41" t="s">
        <v>33</v>
      </c>
      <c r="G11" s="42" t="s">
        <v>34</v>
      </c>
      <c r="H11" s="41"/>
      <c r="I11" s="44">
        <v>46118.444444444453</v>
      </c>
      <c r="J11" s="44">
        <v>46118.520833333343</v>
      </c>
      <c r="K11" s="43" t="s">
        <v>63</v>
      </c>
      <c r="L11" s="45"/>
      <c r="M11" s="45"/>
      <c r="N11" s="43" t="s">
        <v>64</v>
      </c>
      <c r="O11" s="43" t="s">
        <v>64</v>
      </c>
      <c r="P11" s="42" t="s">
        <v>181</v>
      </c>
    </row>
    <row r="12" spans="2:16" ht="9.4" customHeight="1" x14ac:dyDescent="0.35">
      <c r="B12" s="39">
        <v>2</v>
      </c>
      <c r="C12" s="40" t="s">
        <v>37</v>
      </c>
      <c r="D12" s="42" t="s">
        <v>31</v>
      </c>
      <c r="E12" s="41" t="s">
        <v>32</v>
      </c>
      <c r="F12" s="41" t="s">
        <v>33</v>
      </c>
      <c r="G12" s="42" t="s">
        <v>34</v>
      </c>
      <c r="H12" s="41" t="s">
        <v>30</v>
      </c>
      <c r="I12" s="44">
        <v>46121.354166666657</v>
      </c>
      <c r="J12" s="44">
        <v>46121.444444444453</v>
      </c>
      <c r="K12" s="43" t="s">
        <v>63</v>
      </c>
      <c r="L12" s="45"/>
      <c r="M12" s="45"/>
      <c r="N12" s="43" t="s">
        <v>64</v>
      </c>
      <c r="O12" s="43" t="s">
        <v>64</v>
      </c>
      <c r="P12" s="42" t="s">
        <v>182</v>
      </c>
    </row>
    <row r="13" spans="2:16" ht="9.4" customHeight="1" x14ac:dyDescent="0.35">
      <c r="B13" s="39">
        <v>3</v>
      </c>
      <c r="C13" s="40" t="s">
        <v>39</v>
      </c>
      <c r="D13" s="42" t="s">
        <v>31</v>
      </c>
      <c r="E13" s="41" t="s">
        <v>32</v>
      </c>
      <c r="F13" s="41" t="s">
        <v>33</v>
      </c>
      <c r="G13" s="42" t="s">
        <v>34</v>
      </c>
      <c r="H13" s="41" t="s">
        <v>37</v>
      </c>
      <c r="I13" s="44">
        <v>46125.444444444453</v>
      </c>
      <c r="J13" s="44">
        <v>46125.520833333343</v>
      </c>
      <c r="K13" s="43" t="s">
        <v>63</v>
      </c>
      <c r="L13" s="45"/>
      <c r="M13" s="45"/>
      <c r="N13" s="43" t="s">
        <v>64</v>
      </c>
      <c r="O13" s="43" t="s">
        <v>64</v>
      </c>
      <c r="P13" s="42" t="s">
        <v>44</v>
      </c>
    </row>
    <row r="14" spans="2:16" ht="9.4" customHeight="1" x14ac:dyDescent="0.35">
      <c r="B14" s="39">
        <v>4</v>
      </c>
      <c r="C14" s="40" t="s">
        <v>41</v>
      </c>
      <c r="D14" s="42" t="s">
        <v>31</v>
      </c>
      <c r="E14" s="41" t="s">
        <v>32</v>
      </c>
      <c r="F14" s="41" t="s">
        <v>33</v>
      </c>
      <c r="G14" s="42" t="s">
        <v>34</v>
      </c>
      <c r="H14" s="41" t="s">
        <v>39</v>
      </c>
      <c r="I14" s="44">
        <v>46128.354166666657</v>
      </c>
      <c r="J14" s="44">
        <v>46128.444444444453</v>
      </c>
      <c r="K14" s="43" t="s">
        <v>63</v>
      </c>
      <c r="L14" s="45"/>
      <c r="M14" s="45"/>
      <c r="N14" s="43" t="s">
        <v>64</v>
      </c>
      <c r="O14" s="43" t="s">
        <v>64</v>
      </c>
      <c r="P14" s="42" t="s">
        <v>183</v>
      </c>
    </row>
    <row r="15" spans="2:16" ht="9.4" customHeight="1" x14ac:dyDescent="0.35">
      <c r="B15" s="39">
        <v>5</v>
      </c>
      <c r="C15" s="40" t="s">
        <v>43</v>
      </c>
      <c r="D15" s="42" t="s">
        <v>31</v>
      </c>
      <c r="E15" s="41" t="s">
        <v>32</v>
      </c>
      <c r="F15" s="41" t="s">
        <v>33</v>
      </c>
      <c r="G15" s="42" t="s">
        <v>34</v>
      </c>
      <c r="H15" s="41" t="s">
        <v>41</v>
      </c>
      <c r="I15" s="44">
        <v>46132.444444444453</v>
      </c>
      <c r="J15" s="44">
        <v>46132.520833333343</v>
      </c>
      <c r="K15" s="43" t="s">
        <v>63</v>
      </c>
      <c r="L15" s="45"/>
      <c r="M15" s="45"/>
      <c r="N15" s="43" t="s">
        <v>64</v>
      </c>
      <c r="O15" s="43" t="s">
        <v>64</v>
      </c>
      <c r="P15" s="42" t="s">
        <v>44</v>
      </c>
    </row>
    <row r="16" spans="2:16" ht="9.4" customHeight="1" x14ac:dyDescent="0.35">
      <c r="B16" s="39">
        <v>6</v>
      </c>
      <c r="C16" s="40" t="s">
        <v>45</v>
      </c>
      <c r="D16" s="42" t="s">
        <v>31</v>
      </c>
      <c r="E16" s="41" t="s">
        <v>32</v>
      </c>
      <c r="F16" s="41" t="s">
        <v>33</v>
      </c>
      <c r="G16" s="42" t="s">
        <v>34</v>
      </c>
      <c r="H16" s="41" t="s">
        <v>43</v>
      </c>
      <c r="I16" s="44">
        <v>46139.444444444453</v>
      </c>
      <c r="J16" s="44">
        <v>46139.520833333343</v>
      </c>
      <c r="K16" s="43" t="s">
        <v>63</v>
      </c>
      <c r="L16" s="45"/>
      <c r="M16" s="45"/>
      <c r="N16" s="43" t="s">
        <v>64</v>
      </c>
      <c r="O16" s="43" t="s">
        <v>64</v>
      </c>
      <c r="P16" s="42" t="s">
        <v>44</v>
      </c>
    </row>
    <row r="17" spans="2:16" ht="9.4" customHeight="1" x14ac:dyDescent="0.35">
      <c r="B17" s="39">
        <v>7</v>
      </c>
      <c r="C17" s="40" t="s">
        <v>47</v>
      </c>
      <c r="D17" s="42" t="s">
        <v>31</v>
      </c>
      <c r="E17" s="41" t="s">
        <v>32</v>
      </c>
      <c r="F17" s="41" t="s">
        <v>33</v>
      </c>
      <c r="G17" s="42" t="s">
        <v>34</v>
      </c>
      <c r="H17" s="41" t="s">
        <v>45</v>
      </c>
      <c r="I17" s="44">
        <v>46142.354166666657</v>
      </c>
      <c r="J17" s="44">
        <v>46142.444444444453</v>
      </c>
      <c r="K17" s="43" t="s">
        <v>63</v>
      </c>
      <c r="L17" s="45"/>
      <c r="M17" s="45"/>
      <c r="N17" s="43" t="s">
        <v>64</v>
      </c>
      <c r="O17" s="43" t="s">
        <v>64</v>
      </c>
      <c r="P17" s="42" t="s">
        <v>65</v>
      </c>
    </row>
    <row r="18" spans="2:16" ht="9.4" customHeight="1" x14ac:dyDescent="0.35">
      <c r="B18" s="39">
        <v>8</v>
      </c>
      <c r="C18" s="40" t="s">
        <v>48</v>
      </c>
      <c r="D18" s="42" t="s">
        <v>31</v>
      </c>
      <c r="E18" s="41" t="s">
        <v>32</v>
      </c>
      <c r="F18" s="41" t="s">
        <v>33</v>
      </c>
      <c r="G18" s="42" t="s">
        <v>34</v>
      </c>
      <c r="H18" s="41" t="s">
        <v>47</v>
      </c>
      <c r="I18" s="44">
        <v>46146.444444444453</v>
      </c>
      <c r="J18" s="44">
        <v>46146.520833333343</v>
      </c>
      <c r="K18" s="43" t="s">
        <v>63</v>
      </c>
      <c r="L18" s="45"/>
      <c r="M18" s="45"/>
      <c r="N18" s="43" t="s">
        <v>64</v>
      </c>
      <c r="O18" s="43" t="s">
        <v>64</v>
      </c>
      <c r="P18" s="42" t="s">
        <v>65</v>
      </c>
    </row>
    <row r="19" spans="2:16" ht="9.4" customHeight="1" x14ac:dyDescent="0.35">
      <c r="B19" s="39">
        <v>9</v>
      </c>
      <c r="C19" s="40" t="str">
        <f>IF(ISBLANK(D19), "", _xlfn.CONCAT("T", TEXT(B19, "0000"), "/", VLOOKUP(D19, Internal!$B$35:C$39, 2, FALSE), IF(OR(D19="QA", D19="Revision"), _xlfn.CONCAT("/", H19), "")))</f>
        <v/>
      </c>
      <c r="D19" s="42"/>
      <c r="E19" s="41"/>
      <c r="F19" s="41"/>
      <c r="G19" s="42"/>
      <c r="H19" s="41"/>
      <c r="I19" s="44"/>
      <c r="J19" s="44"/>
      <c r="K19" s="43" t="str">
        <f t="shared" ref="K19:K50" ca="1" si="0">IF(OR(I19="",J19=""),"",IF(AND(J19&lt;&gt;"",I19&gt;=NOW()),"Planned",IF(AND(J19&lt;&gt;"",J19&lt;NOW()),"Completed","Ongoing")))</f>
        <v/>
      </c>
      <c r="L19" s="45"/>
      <c r="M19" s="45"/>
      <c r="N19" s="43" t="str">
        <f>IF(ISBLANK(L19), "", L19*VLOOKUP($F19,Internal!$B$26:$C$32,2,FALSE))</f>
        <v/>
      </c>
      <c r="O19" s="43" t="str">
        <f>IF(ISBLANK(M19), "", M19*VLOOKUP($F19,Internal!$B$26:$C$32,2,FALSE))</f>
        <v/>
      </c>
      <c r="P19" s="42"/>
    </row>
    <row r="20" spans="2:16" ht="9.4" customHeight="1" x14ac:dyDescent="0.35">
      <c r="B20" s="39">
        <v>10</v>
      </c>
      <c r="C20" s="40" t="str">
        <f>IF(ISBLANK(D20), "", _xlfn.CONCAT("T", TEXT(B20, "0000"), "/", VLOOKUP(D20, Internal!$B$35:C$39, 2, FALSE), IF(OR(D20="QA", D20="Revision"), _xlfn.CONCAT("/", H20), "")))</f>
        <v/>
      </c>
      <c r="D20" s="42"/>
      <c r="E20" s="41"/>
      <c r="F20" s="41"/>
      <c r="G20" s="42"/>
      <c r="H20" s="41"/>
      <c r="I20" s="44"/>
      <c r="J20" s="44"/>
      <c r="K20" s="43" t="str">
        <f t="shared" ca="1" si="0"/>
        <v/>
      </c>
      <c r="L20" s="45"/>
      <c r="M20" s="45"/>
      <c r="N20" s="43" t="str">
        <f>IF(ISBLANK(L20), "", L20*VLOOKUP($F20,Internal!$B$26:$C$32,2,FALSE))</f>
        <v/>
      </c>
      <c r="O20" s="43" t="str">
        <f>IF(ISBLANK(M20), "", M20*VLOOKUP($F20,Internal!$B$26:$C$32,2,FALSE))</f>
        <v/>
      </c>
      <c r="P20" s="42"/>
    </row>
    <row r="21" spans="2:16" ht="9.4" customHeight="1" x14ac:dyDescent="0.35">
      <c r="B21" s="39">
        <v>11</v>
      </c>
      <c r="C21" s="40" t="str">
        <f>IF(ISBLANK(D21), "", _xlfn.CONCAT("T", TEXT(B21, "0000"), "/", VLOOKUP(D21, Internal!$B$35:C$39, 2, FALSE), IF(OR(D21="QA", D21="Revision"), _xlfn.CONCAT("/", H21), "")))</f>
        <v/>
      </c>
      <c r="D21" s="42"/>
      <c r="E21" s="41"/>
      <c r="F21" s="41"/>
      <c r="G21" s="42"/>
      <c r="H21" s="41"/>
      <c r="I21" s="44"/>
      <c r="J21" s="44"/>
      <c r="K21" s="43" t="str">
        <f t="shared" ca="1" si="0"/>
        <v/>
      </c>
      <c r="L21" s="45"/>
      <c r="M21" s="45"/>
      <c r="N21" s="43" t="str">
        <f>IF(ISBLANK(L21), "", L21*VLOOKUP($F21,Internal!$B$26:$C$32,2,FALSE))</f>
        <v/>
      </c>
      <c r="O21" s="43" t="str">
        <f>IF(ISBLANK(M21), "", M21*VLOOKUP($F21,Internal!$B$26:$C$32,2,FALSE))</f>
        <v/>
      </c>
      <c r="P21" s="42"/>
    </row>
    <row r="22" spans="2:16" ht="9.4" customHeight="1" x14ac:dyDescent="0.35">
      <c r="B22" s="39">
        <v>12</v>
      </c>
      <c r="C22" s="40" t="str">
        <f>IF(ISBLANK(D22), "", _xlfn.CONCAT("T", TEXT(B22, "0000"), "/", VLOOKUP(D22, Internal!$B$35:C$39, 2, FALSE), IF(OR(D22="QA", D22="Revision"), _xlfn.CONCAT("/", H22), "")))</f>
        <v/>
      </c>
      <c r="D22" s="42"/>
      <c r="E22" s="41"/>
      <c r="F22" s="41"/>
      <c r="G22" s="42"/>
      <c r="H22" s="41"/>
      <c r="I22" s="44"/>
      <c r="J22" s="44"/>
      <c r="K22" s="43" t="str">
        <f t="shared" ca="1" si="0"/>
        <v/>
      </c>
      <c r="L22" s="45"/>
      <c r="M22" s="45"/>
      <c r="N22" s="43" t="str">
        <f>IF(ISBLANK(L22), "", L22*VLOOKUP($F22,Internal!$B$26:$C$32,2,FALSE))</f>
        <v/>
      </c>
      <c r="O22" s="43" t="str">
        <f>IF(ISBLANK(M22), "", M22*VLOOKUP($F22,Internal!$B$26:$C$32,2,FALSE))</f>
        <v/>
      </c>
      <c r="P22" s="42"/>
    </row>
    <row r="23" spans="2:16" ht="9.4" customHeight="1" x14ac:dyDescent="0.35">
      <c r="B23" s="39">
        <v>13</v>
      </c>
      <c r="C23" s="40" t="str">
        <f>IF(ISBLANK(D23), "", _xlfn.CONCAT("T", TEXT(B23, "0000"), "/", VLOOKUP(D23, Internal!$B$35:C$39, 2, FALSE), IF(OR(D23="QA", D23="Revision"), _xlfn.CONCAT("/", H23), "")))</f>
        <v/>
      </c>
      <c r="D23" s="42"/>
      <c r="E23" s="41"/>
      <c r="F23" s="41"/>
      <c r="G23" s="42"/>
      <c r="H23" s="41"/>
      <c r="I23" s="44"/>
      <c r="J23" s="44"/>
      <c r="K23" s="43" t="str">
        <f t="shared" ca="1" si="0"/>
        <v/>
      </c>
      <c r="L23" s="45"/>
      <c r="M23" s="45"/>
      <c r="N23" s="43" t="str">
        <f>IF(ISBLANK(L23), "", L23*VLOOKUP($F23,Internal!$B$26:$C$32,2,FALSE))</f>
        <v/>
      </c>
      <c r="O23" s="43" t="str">
        <f>IF(ISBLANK(M23), "", M23*VLOOKUP($F23,Internal!$B$26:$C$32,2,FALSE))</f>
        <v/>
      </c>
      <c r="P23" s="42"/>
    </row>
    <row r="24" spans="2:16" ht="9.4" customHeight="1" x14ac:dyDescent="0.35">
      <c r="B24" s="39">
        <v>14</v>
      </c>
      <c r="C24" s="40" t="str">
        <f>IF(ISBLANK(D24), "", _xlfn.CONCAT("T", TEXT(B24, "0000"), "/", VLOOKUP(D24, Internal!$B$35:C$39, 2, FALSE), IF(OR(D24="QA", D24="Revision"), _xlfn.CONCAT("/", H24), "")))</f>
        <v/>
      </c>
      <c r="D24" s="42"/>
      <c r="E24" s="41"/>
      <c r="F24" s="41"/>
      <c r="G24" s="42"/>
      <c r="H24" s="41"/>
      <c r="I24" s="44"/>
      <c r="J24" s="44"/>
      <c r="K24" s="43" t="str">
        <f t="shared" ca="1" si="0"/>
        <v/>
      </c>
      <c r="L24" s="45"/>
      <c r="M24" s="45"/>
      <c r="N24" s="43" t="str">
        <f>IF(ISBLANK(L24), "", L24*VLOOKUP($F24,Internal!$B$26:$C$32,2,FALSE))</f>
        <v/>
      </c>
      <c r="O24" s="43" t="str">
        <f>IF(ISBLANK(M24), "", M24*VLOOKUP($F24,Internal!$B$26:$C$32,2,FALSE))</f>
        <v/>
      </c>
      <c r="P24" s="42"/>
    </row>
    <row r="25" spans="2:16" ht="9.4" customHeight="1" x14ac:dyDescent="0.35">
      <c r="B25" s="39">
        <v>15</v>
      </c>
      <c r="C25" s="40" t="str">
        <f>IF(ISBLANK(D25), "", _xlfn.CONCAT("T", TEXT(B25, "0000"), "/", VLOOKUP(D25, Internal!$B$35:C$39, 2, FALSE), IF(OR(D25="QA", D25="Revision"), _xlfn.CONCAT("/", H25), "")))</f>
        <v/>
      </c>
      <c r="D25" s="42"/>
      <c r="E25" s="41"/>
      <c r="F25" s="41"/>
      <c r="G25" s="42"/>
      <c r="H25" s="41"/>
      <c r="I25" s="44"/>
      <c r="J25" s="44"/>
      <c r="K25" s="43" t="str">
        <f t="shared" ca="1" si="0"/>
        <v/>
      </c>
      <c r="L25" s="45"/>
      <c r="M25" s="45"/>
      <c r="N25" s="43" t="str">
        <f>IF(ISBLANK(L25), "", L25*VLOOKUP($F25,Internal!$B$26:$C$32,2,FALSE))</f>
        <v/>
      </c>
      <c r="O25" s="43" t="str">
        <f>IF(ISBLANK(M25), "", M25*VLOOKUP($F25,Internal!$B$26:$C$32,2,FALSE))</f>
        <v/>
      </c>
      <c r="P25" s="42"/>
    </row>
    <row r="26" spans="2:16" ht="9.4" customHeight="1" x14ac:dyDescent="0.35">
      <c r="B26" s="39">
        <v>16</v>
      </c>
      <c r="C26" s="40" t="str">
        <f>IF(ISBLANK(D26), "", _xlfn.CONCAT("T", TEXT(B26, "0000"), "/", VLOOKUP(D26, Internal!$B$35:C$39, 2, FALSE), IF(OR(D26="QA", D26="Revision"), _xlfn.CONCAT("/", H26), "")))</f>
        <v/>
      </c>
      <c r="D26" s="42"/>
      <c r="E26" s="41"/>
      <c r="F26" s="41"/>
      <c r="G26" s="42"/>
      <c r="H26" s="41"/>
      <c r="I26" s="44"/>
      <c r="J26" s="44"/>
      <c r="K26" s="43" t="str">
        <f t="shared" ca="1" si="0"/>
        <v/>
      </c>
      <c r="L26" s="45"/>
      <c r="M26" s="45"/>
      <c r="N26" s="43" t="str">
        <f>IF(ISBLANK(L26), "", L26*VLOOKUP($F26,Internal!$B$26:$C$32,2,FALSE))</f>
        <v/>
      </c>
      <c r="O26" s="43" t="str">
        <f>IF(ISBLANK(M26), "", M26*VLOOKUP($F26,Internal!$B$26:$C$32,2,FALSE))</f>
        <v/>
      </c>
      <c r="P26" s="42"/>
    </row>
    <row r="27" spans="2:16" ht="9.4" customHeight="1" x14ac:dyDescent="0.35">
      <c r="B27" s="39">
        <v>17</v>
      </c>
      <c r="C27" s="40" t="str">
        <f>IF(ISBLANK(D27), "", _xlfn.CONCAT("T", TEXT(B27, "0000"), "/", VLOOKUP(D27, Internal!$B$35:C$39, 2, FALSE), IF(OR(D27="QA", D27="Revision"), _xlfn.CONCAT("/", H27), "")))</f>
        <v/>
      </c>
      <c r="D27" s="42"/>
      <c r="E27" s="41"/>
      <c r="F27" s="41"/>
      <c r="G27" s="42"/>
      <c r="H27" s="41"/>
      <c r="I27" s="44"/>
      <c r="J27" s="44"/>
      <c r="K27" s="43" t="str">
        <f t="shared" ca="1" si="0"/>
        <v/>
      </c>
      <c r="L27" s="45"/>
      <c r="M27" s="45"/>
      <c r="N27" s="43" t="str">
        <f>IF(ISBLANK(L27), "", L27*VLOOKUP($F27,Internal!$B$26:$C$32,2,FALSE))</f>
        <v/>
      </c>
      <c r="O27" s="43" t="str">
        <f>IF(ISBLANK(M27), "", M27*VLOOKUP($F27,Internal!$B$26:$C$32,2,FALSE))</f>
        <v/>
      </c>
      <c r="P27" s="42"/>
    </row>
    <row r="28" spans="2:16" ht="9.4" customHeight="1" x14ac:dyDescent="0.35">
      <c r="B28" s="39">
        <v>18</v>
      </c>
      <c r="C28" s="40" t="str">
        <f>IF(ISBLANK(D28), "", _xlfn.CONCAT("T", TEXT(B28, "0000"), "/", VLOOKUP(D28, Internal!$B$35:C$39, 2, FALSE), IF(OR(D28="QA", D28="Revision"), _xlfn.CONCAT("/", H28), "")))</f>
        <v/>
      </c>
      <c r="D28" s="42"/>
      <c r="E28" s="41"/>
      <c r="F28" s="41"/>
      <c r="G28" s="42"/>
      <c r="H28" s="41"/>
      <c r="I28" s="44"/>
      <c r="J28" s="44"/>
      <c r="K28" s="43" t="str">
        <f t="shared" ca="1" si="0"/>
        <v/>
      </c>
      <c r="L28" s="45"/>
      <c r="M28" s="45"/>
      <c r="N28" s="43" t="str">
        <f>IF(ISBLANK(L28), "", L28*VLOOKUP($F28,Internal!$B$26:$C$32,2,FALSE))</f>
        <v/>
      </c>
      <c r="O28" s="43" t="str">
        <f>IF(ISBLANK(M28), "", M28*VLOOKUP($F28,Internal!$B$26:$C$32,2,FALSE))</f>
        <v/>
      </c>
      <c r="P28" s="42"/>
    </row>
    <row r="29" spans="2:16" ht="9.4" customHeight="1" x14ac:dyDescent="0.35">
      <c r="B29" s="39">
        <v>19</v>
      </c>
      <c r="C29" s="40" t="str">
        <f>IF(ISBLANK(D29), "", _xlfn.CONCAT("T", TEXT(B29, "0000"), "/", VLOOKUP(D29, Internal!$B$35:C$39, 2, FALSE), IF(OR(D29="QA", D29="Revision"), _xlfn.CONCAT("/", H29), "")))</f>
        <v/>
      </c>
      <c r="D29" s="42"/>
      <c r="E29" s="41"/>
      <c r="F29" s="41"/>
      <c r="G29" s="42"/>
      <c r="H29" s="41"/>
      <c r="I29" s="44"/>
      <c r="J29" s="44"/>
      <c r="K29" s="43" t="str">
        <f t="shared" ca="1" si="0"/>
        <v/>
      </c>
      <c r="L29" s="45"/>
      <c r="M29" s="45"/>
      <c r="N29" s="43" t="str">
        <f>IF(ISBLANK(L29), "", L29*VLOOKUP($F29,Internal!$B$26:$C$32,2,FALSE))</f>
        <v/>
      </c>
      <c r="O29" s="43" t="str">
        <f>IF(ISBLANK(M29), "", M29*VLOOKUP($F29,Internal!$B$26:$C$32,2,FALSE))</f>
        <v/>
      </c>
      <c r="P29" s="42"/>
    </row>
    <row r="30" spans="2:16" ht="9.4" customHeight="1" x14ac:dyDescent="0.35">
      <c r="B30" s="39">
        <v>20</v>
      </c>
      <c r="C30" s="40" t="str">
        <f>IF(ISBLANK(D30), "", _xlfn.CONCAT("T", TEXT(B30, "0000"), "/", VLOOKUP(D30, Internal!$B$35:C$39, 2, FALSE), IF(OR(D30="QA", D30="Revision"), _xlfn.CONCAT("/", H30), "")))</f>
        <v/>
      </c>
      <c r="D30" s="42"/>
      <c r="E30" s="41"/>
      <c r="F30" s="41"/>
      <c r="G30" s="42"/>
      <c r="H30" s="41"/>
      <c r="I30" s="44"/>
      <c r="J30" s="44"/>
      <c r="K30" s="43" t="str">
        <f t="shared" ca="1" si="0"/>
        <v/>
      </c>
      <c r="L30" s="45"/>
      <c r="M30" s="45"/>
      <c r="N30" s="43" t="str">
        <f>IF(ISBLANK(L30), "", L30*VLOOKUP($F30,Internal!$B$26:$C$32,2,FALSE))</f>
        <v/>
      </c>
      <c r="O30" s="43" t="str">
        <f>IF(ISBLANK(M30), "", M30*VLOOKUP($F30,Internal!$B$26:$C$32,2,FALSE))</f>
        <v/>
      </c>
      <c r="P30" s="42"/>
    </row>
    <row r="31" spans="2:16" ht="9.4" customHeight="1" x14ac:dyDescent="0.35">
      <c r="B31" s="39">
        <v>21</v>
      </c>
      <c r="C31" s="40" t="str">
        <f>IF(ISBLANK(D31), "", _xlfn.CONCAT("T", TEXT(B31, "0000"), "/", VLOOKUP(D31, Internal!$B$35:C$39, 2, FALSE), IF(OR(D31="QA", D31="Revision"), _xlfn.CONCAT("/", H31), "")))</f>
        <v/>
      </c>
      <c r="D31" s="42"/>
      <c r="E31" s="41"/>
      <c r="F31" s="41"/>
      <c r="G31" s="42"/>
      <c r="H31" s="41"/>
      <c r="I31" s="44"/>
      <c r="J31" s="44"/>
      <c r="K31" s="43" t="str">
        <f t="shared" ca="1" si="0"/>
        <v/>
      </c>
      <c r="L31" s="45"/>
      <c r="M31" s="45"/>
      <c r="N31" s="43" t="str">
        <f>IF(ISBLANK(L31), "", L31*VLOOKUP($F31,Internal!$B$26:$C$32,2,FALSE))</f>
        <v/>
      </c>
      <c r="O31" s="43" t="str">
        <f>IF(ISBLANK(M31), "", M31*VLOOKUP($F31,Internal!$B$26:$C$32,2,FALSE))</f>
        <v/>
      </c>
      <c r="P31" s="42"/>
    </row>
    <row r="32" spans="2:16" ht="9.4" customHeight="1" x14ac:dyDescent="0.35">
      <c r="B32" s="39">
        <v>22</v>
      </c>
      <c r="C32" s="40" t="str">
        <f>IF(ISBLANK(D32), "", _xlfn.CONCAT("T", TEXT(B32, "0000"), "/", VLOOKUP(D32, Internal!$B$35:C$39, 2, FALSE), IF(OR(D32="QA", D32="Revision"), _xlfn.CONCAT("/", H32), "")))</f>
        <v/>
      </c>
      <c r="D32" s="42"/>
      <c r="E32" s="41"/>
      <c r="F32" s="41"/>
      <c r="G32" s="42"/>
      <c r="H32" s="41"/>
      <c r="I32" s="44"/>
      <c r="J32" s="44"/>
      <c r="K32" s="43" t="str">
        <f t="shared" ca="1" si="0"/>
        <v/>
      </c>
      <c r="L32" s="45"/>
      <c r="M32" s="45"/>
      <c r="N32" s="43" t="str">
        <f>IF(ISBLANK(L32), "", L32*VLOOKUP($F32,Internal!$B$26:$C$32,2,FALSE))</f>
        <v/>
      </c>
      <c r="O32" s="43" t="str">
        <f>IF(ISBLANK(M32), "", M32*VLOOKUP($F32,Internal!$B$26:$C$32,2,FALSE))</f>
        <v/>
      </c>
      <c r="P32" s="42"/>
    </row>
    <row r="33" spans="2:16" ht="9.4" customHeight="1" x14ac:dyDescent="0.35">
      <c r="B33" s="39">
        <v>23</v>
      </c>
      <c r="C33" s="40" t="str">
        <f>IF(ISBLANK(D33), "", _xlfn.CONCAT("T", TEXT(B33, "0000"), "/", VLOOKUP(D33, Internal!$B$35:C$39, 2, FALSE), IF(OR(D33="QA", D33="Revision"), _xlfn.CONCAT("/", H33), "")))</f>
        <v/>
      </c>
      <c r="D33" s="42"/>
      <c r="E33" s="41"/>
      <c r="F33" s="41"/>
      <c r="G33" s="42"/>
      <c r="H33" s="41"/>
      <c r="I33" s="44"/>
      <c r="J33" s="44"/>
      <c r="K33" s="43" t="str">
        <f t="shared" ca="1" si="0"/>
        <v/>
      </c>
      <c r="L33" s="45"/>
      <c r="M33" s="45"/>
      <c r="N33" s="43" t="str">
        <f>IF(ISBLANK(L33), "", L33*VLOOKUP($F33,Internal!$B$26:$C$32,2,FALSE))</f>
        <v/>
      </c>
      <c r="O33" s="43" t="str">
        <f>IF(ISBLANK(M33), "", M33*VLOOKUP($F33,Internal!$B$26:$C$32,2,FALSE))</f>
        <v/>
      </c>
      <c r="P33" s="42"/>
    </row>
    <row r="34" spans="2:16" ht="9.4" customHeight="1" x14ac:dyDescent="0.35">
      <c r="B34" s="39">
        <v>24</v>
      </c>
      <c r="C34" s="40" t="str">
        <f>IF(ISBLANK(D34), "", _xlfn.CONCAT("T", TEXT(B34, "0000"), "/", VLOOKUP(D34, Internal!$B$35:C$39, 2, FALSE), IF(OR(D34="QA", D34="Revision"), _xlfn.CONCAT("/", H34), "")))</f>
        <v/>
      </c>
      <c r="D34" s="42"/>
      <c r="E34" s="41"/>
      <c r="F34" s="41"/>
      <c r="G34" s="42"/>
      <c r="H34" s="41"/>
      <c r="I34" s="44"/>
      <c r="J34" s="44"/>
      <c r="K34" s="43" t="str">
        <f t="shared" ca="1" si="0"/>
        <v/>
      </c>
      <c r="L34" s="45"/>
      <c r="M34" s="45"/>
      <c r="N34" s="43" t="str">
        <f>IF(ISBLANK(L34), "", L34*VLOOKUP($F34,Internal!$B$26:$C$32,2,FALSE))</f>
        <v/>
      </c>
      <c r="O34" s="43" t="str">
        <f>IF(ISBLANK(M34), "", M34*VLOOKUP($F34,Internal!$B$26:$C$32,2,FALSE))</f>
        <v/>
      </c>
      <c r="P34" s="42"/>
    </row>
    <row r="35" spans="2:16" ht="9.4" customHeight="1" x14ac:dyDescent="0.35">
      <c r="B35" s="39">
        <v>25</v>
      </c>
      <c r="C35" s="40" t="str">
        <f>IF(ISBLANK(D35), "", _xlfn.CONCAT("T", TEXT(B35, "0000"), "/", VLOOKUP(D35, Internal!$B$35:C$39, 2, FALSE), IF(OR(D35="QA", D35="Revision"), _xlfn.CONCAT("/", H35), "")))</f>
        <v/>
      </c>
      <c r="D35" s="42"/>
      <c r="E35" s="41"/>
      <c r="F35" s="41"/>
      <c r="G35" s="42"/>
      <c r="H35" s="41"/>
      <c r="I35" s="44"/>
      <c r="J35" s="44"/>
      <c r="K35" s="43" t="str">
        <f t="shared" ca="1" si="0"/>
        <v/>
      </c>
      <c r="L35" s="45"/>
      <c r="M35" s="45"/>
      <c r="N35" s="43" t="str">
        <f>IF(ISBLANK(L35), "", L35*VLOOKUP($F35,Internal!$B$26:$C$32,2,FALSE))</f>
        <v/>
      </c>
      <c r="O35" s="43" t="str">
        <f>IF(ISBLANK(M35), "", M35*VLOOKUP($F35,Internal!$B$26:$C$32,2,FALSE))</f>
        <v/>
      </c>
      <c r="P35" s="42"/>
    </row>
    <row r="36" spans="2:16" ht="9.4" customHeight="1" x14ac:dyDescent="0.35">
      <c r="B36" s="39">
        <v>26</v>
      </c>
      <c r="C36" s="40" t="str">
        <f>IF(ISBLANK(D36), "", _xlfn.CONCAT("T", TEXT(B36, "0000"), "/", VLOOKUP(D36, Internal!$B$35:C$39, 2, FALSE), IF(OR(D36="QA", D36="Revision"), _xlfn.CONCAT("/", H36), "")))</f>
        <v/>
      </c>
      <c r="D36" s="42"/>
      <c r="E36" s="41"/>
      <c r="F36" s="41"/>
      <c r="G36" s="42"/>
      <c r="H36" s="41"/>
      <c r="I36" s="44"/>
      <c r="J36" s="44"/>
      <c r="K36" s="43" t="str">
        <f t="shared" ca="1" si="0"/>
        <v/>
      </c>
      <c r="L36" s="45"/>
      <c r="M36" s="45"/>
      <c r="N36" s="43" t="str">
        <f>IF(ISBLANK(L36), "", L36*VLOOKUP($F36,Internal!$B$26:$C$32,2,FALSE))</f>
        <v/>
      </c>
      <c r="O36" s="43" t="str">
        <f>IF(ISBLANK(M36), "", M36*VLOOKUP($F36,Internal!$B$26:$C$32,2,FALSE))</f>
        <v/>
      </c>
      <c r="P36" s="42"/>
    </row>
    <row r="37" spans="2:16" ht="9.4" customHeight="1" x14ac:dyDescent="0.35">
      <c r="B37" s="39">
        <v>27</v>
      </c>
      <c r="C37" s="40" t="str">
        <f>IF(ISBLANK(D37), "", _xlfn.CONCAT("T", TEXT(B37, "0000"), "/", VLOOKUP(D37, Internal!$B$35:C$39, 2, FALSE), IF(OR(D37="QA", D37="Revision"), _xlfn.CONCAT("/", H37), "")))</f>
        <v/>
      </c>
      <c r="D37" s="42"/>
      <c r="E37" s="41"/>
      <c r="F37" s="41"/>
      <c r="G37" s="42"/>
      <c r="H37" s="41"/>
      <c r="I37" s="44"/>
      <c r="J37" s="44"/>
      <c r="K37" s="43" t="str">
        <f t="shared" ca="1" si="0"/>
        <v/>
      </c>
      <c r="L37" s="45"/>
      <c r="M37" s="45"/>
      <c r="N37" s="43" t="str">
        <f>IF(ISBLANK(L37), "", L37*VLOOKUP($F37,Internal!$B$26:$C$32,2,FALSE))</f>
        <v/>
      </c>
      <c r="O37" s="43" t="str">
        <f>IF(ISBLANK(M37), "", M37*VLOOKUP($F37,Internal!$B$26:$C$32,2,FALSE))</f>
        <v/>
      </c>
      <c r="P37" s="42"/>
    </row>
    <row r="38" spans="2:16" ht="9.4" customHeight="1" x14ac:dyDescent="0.35">
      <c r="B38" s="39">
        <v>28</v>
      </c>
      <c r="C38" s="40" t="str">
        <f>IF(ISBLANK(D38), "", _xlfn.CONCAT("T", TEXT(B38, "0000"), "/", VLOOKUP(D38, Internal!$B$35:C$39, 2, FALSE), IF(OR(D38="QA", D38="Revision"), _xlfn.CONCAT("/", H38), "")))</f>
        <v/>
      </c>
      <c r="D38" s="42"/>
      <c r="E38" s="41"/>
      <c r="F38" s="41"/>
      <c r="G38" s="42"/>
      <c r="H38" s="41"/>
      <c r="I38" s="44"/>
      <c r="J38" s="44"/>
      <c r="K38" s="43" t="str">
        <f t="shared" ca="1" si="0"/>
        <v/>
      </c>
      <c r="L38" s="45"/>
      <c r="M38" s="45"/>
      <c r="N38" s="43" t="str">
        <f>IF(ISBLANK(L38), "", L38*VLOOKUP($F38,Internal!$B$26:$C$32,2,FALSE))</f>
        <v/>
      </c>
      <c r="O38" s="43" t="str">
        <f>IF(ISBLANK(M38), "", M38*VLOOKUP($F38,Internal!$B$26:$C$32,2,FALSE))</f>
        <v/>
      </c>
      <c r="P38" s="42"/>
    </row>
    <row r="39" spans="2:16" ht="9.4" customHeight="1" x14ac:dyDescent="0.35">
      <c r="B39" s="39">
        <v>29</v>
      </c>
      <c r="C39" s="40" t="str">
        <f>IF(ISBLANK(D39), "", _xlfn.CONCAT("T", TEXT(B39, "0000"), "/", VLOOKUP(D39, Internal!$B$35:C$39, 2, FALSE), IF(OR(D39="QA", D39="Revision"), _xlfn.CONCAT("/", H39), "")))</f>
        <v/>
      </c>
      <c r="D39" s="42"/>
      <c r="E39" s="41"/>
      <c r="F39" s="41"/>
      <c r="G39" s="42"/>
      <c r="H39" s="41"/>
      <c r="I39" s="44"/>
      <c r="J39" s="44"/>
      <c r="K39" s="43" t="str">
        <f t="shared" ca="1" si="0"/>
        <v/>
      </c>
      <c r="L39" s="45"/>
      <c r="M39" s="45"/>
      <c r="N39" s="43" t="str">
        <f>IF(ISBLANK(L39), "", L39*VLOOKUP($F39,Internal!$B$26:$C$32,2,FALSE))</f>
        <v/>
      </c>
      <c r="O39" s="43" t="str">
        <f>IF(ISBLANK(M39), "", M39*VLOOKUP($F39,Internal!$B$26:$C$32,2,FALSE))</f>
        <v/>
      </c>
      <c r="P39" s="42"/>
    </row>
    <row r="40" spans="2:16" ht="9.4" customHeight="1" x14ac:dyDescent="0.35">
      <c r="B40" s="39">
        <v>30</v>
      </c>
      <c r="C40" s="40" t="str">
        <f>IF(ISBLANK(D40), "", _xlfn.CONCAT("T", TEXT(B40, "0000"), "/", VLOOKUP(D40, Internal!$B$35:C$39, 2, FALSE), IF(OR(D40="QA", D40="Revision"), _xlfn.CONCAT("/", H40), "")))</f>
        <v/>
      </c>
      <c r="D40" s="42"/>
      <c r="E40" s="41"/>
      <c r="F40" s="41"/>
      <c r="G40" s="42"/>
      <c r="H40" s="41"/>
      <c r="I40" s="44"/>
      <c r="J40" s="44"/>
      <c r="K40" s="43" t="str">
        <f t="shared" ca="1" si="0"/>
        <v/>
      </c>
      <c r="L40" s="45"/>
      <c r="M40" s="45"/>
      <c r="N40" s="43" t="str">
        <f>IF(ISBLANK(L40), "", L40*VLOOKUP($F40,Internal!$B$26:$C$32,2,FALSE))</f>
        <v/>
      </c>
      <c r="O40" s="43" t="str">
        <f>IF(ISBLANK(M40), "", M40*VLOOKUP($F40,Internal!$B$26:$C$32,2,FALSE))</f>
        <v/>
      </c>
      <c r="P40" s="42"/>
    </row>
    <row r="41" spans="2:16" ht="9.4" customHeight="1" x14ac:dyDescent="0.35">
      <c r="B41" s="39">
        <v>31</v>
      </c>
      <c r="C41" s="40" t="str">
        <f>IF(ISBLANK(D41), "", _xlfn.CONCAT("T", TEXT(B41, "0000"), "/", VLOOKUP(D41, Internal!$B$35:C$39, 2, FALSE), IF(OR(D41="QA", D41="Revision"), _xlfn.CONCAT("/", H41), "")))</f>
        <v/>
      </c>
      <c r="D41" s="42"/>
      <c r="E41" s="41"/>
      <c r="F41" s="41"/>
      <c r="G41" s="42"/>
      <c r="H41" s="41"/>
      <c r="I41" s="44"/>
      <c r="J41" s="44"/>
      <c r="K41" s="43" t="str">
        <f t="shared" ca="1" si="0"/>
        <v/>
      </c>
      <c r="L41" s="45"/>
      <c r="M41" s="45"/>
      <c r="N41" s="43" t="str">
        <f>IF(ISBLANK(L41), "", L41*VLOOKUP($F41,Internal!$B$26:$C$32,2,FALSE))</f>
        <v/>
      </c>
      <c r="O41" s="43" t="str">
        <f>IF(ISBLANK(M41), "", M41*VLOOKUP($F41,Internal!$B$26:$C$32,2,FALSE))</f>
        <v/>
      </c>
      <c r="P41" s="42"/>
    </row>
    <row r="42" spans="2:16" ht="9.4" customHeight="1" x14ac:dyDescent="0.35">
      <c r="B42" s="39">
        <v>32</v>
      </c>
      <c r="C42" s="40" t="str">
        <f>IF(ISBLANK(D42), "", _xlfn.CONCAT("T", TEXT(B42, "0000"), "/", VLOOKUP(D42, Internal!$B$35:C$39, 2, FALSE), IF(OR(D42="QA", D42="Revision"), _xlfn.CONCAT("/", H42), "")))</f>
        <v/>
      </c>
      <c r="D42" s="42"/>
      <c r="E42" s="41"/>
      <c r="F42" s="41"/>
      <c r="G42" s="42"/>
      <c r="H42" s="41"/>
      <c r="I42" s="44"/>
      <c r="J42" s="44"/>
      <c r="K42" s="43" t="str">
        <f t="shared" ca="1" si="0"/>
        <v/>
      </c>
      <c r="L42" s="45"/>
      <c r="M42" s="45"/>
      <c r="N42" s="43" t="str">
        <f>IF(ISBLANK(L42), "", L42*VLOOKUP($F42,Internal!$B$26:$C$32,2,FALSE))</f>
        <v/>
      </c>
      <c r="O42" s="43" t="str">
        <f>IF(ISBLANK(M42), "", M42*VLOOKUP($F42,Internal!$B$26:$C$32,2,FALSE))</f>
        <v/>
      </c>
      <c r="P42" s="42"/>
    </row>
    <row r="43" spans="2:16" ht="9.4" customHeight="1" x14ac:dyDescent="0.35">
      <c r="B43" s="39">
        <v>33</v>
      </c>
      <c r="C43" s="40" t="str">
        <f>IF(ISBLANK(D43), "", _xlfn.CONCAT("T", TEXT(B43, "0000"), "/", VLOOKUP(D43, Internal!$B$35:C$39, 2, FALSE), IF(OR(D43="QA", D43="Revision"), _xlfn.CONCAT("/", H43), "")))</f>
        <v/>
      </c>
      <c r="D43" s="42"/>
      <c r="E43" s="41"/>
      <c r="F43" s="41"/>
      <c r="G43" s="42"/>
      <c r="H43" s="41"/>
      <c r="I43" s="44"/>
      <c r="J43" s="44"/>
      <c r="K43" s="43" t="str">
        <f t="shared" ca="1" si="0"/>
        <v/>
      </c>
      <c r="L43" s="45"/>
      <c r="M43" s="45"/>
      <c r="N43" s="43" t="str">
        <f>IF(ISBLANK(L43), "", L43*VLOOKUP($F43,Internal!$B$26:$C$32,2,FALSE))</f>
        <v/>
      </c>
      <c r="O43" s="43" t="str">
        <f>IF(ISBLANK(M43), "", M43*VLOOKUP($F43,Internal!$B$26:$C$32,2,FALSE))</f>
        <v/>
      </c>
      <c r="P43" s="42"/>
    </row>
    <row r="44" spans="2:16" ht="9.4" customHeight="1" x14ac:dyDescent="0.35">
      <c r="B44" s="39">
        <v>34</v>
      </c>
      <c r="C44" s="40" t="str">
        <f>IF(ISBLANK(D44), "", _xlfn.CONCAT("T", TEXT(B44, "0000"), "/", VLOOKUP(D44, Internal!$B$35:C$39, 2, FALSE), IF(OR(D44="QA", D44="Revision"), _xlfn.CONCAT("/", H44), "")))</f>
        <v/>
      </c>
      <c r="D44" s="42"/>
      <c r="E44" s="41"/>
      <c r="F44" s="41"/>
      <c r="G44" s="42"/>
      <c r="H44" s="41"/>
      <c r="I44" s="44"/>
      <c r="J44" s="44"/>
      <c r="K44" s="43" t="str">
        <f t="shared" ca="1" si="0"/>
        <v/>
      </c>
      <c r="L44" s="45"/>
      <c r="M44" s="45"/>
      <c r="N44" s="43" t="str">
        <f>IF(ISBLANK(L44), "", L44*VLOOKUP($F44,Internal!$B$26:$C$32,2,FALSE))</f>
        <v/>
      </c>
      <c r="O44" s="43" t="str">
        <f>IF(ISBLANK(M44), "", M44*VLOOKUP($F44,Internal!$B$26:$C$32,2,FALSE))</f>
        <v/>
      </c>
      <c r="P44" s="42"/>
    </row>
    <row r="45" spans="2:16" ht="9.4" customHeight="1" x14ac:dyDescent="0.35">
      <c r="B45" s="39">
        <v>35</v>
      </c>
      <c r="C45" s="40" t="str">
        <f>IF(ISBLANK(D45), "", _xlfn.CONCAT("T", TEXT(B45, "0000"), "/", VLOOKUP(D45, Internal!$B$35:C$39, 2, FALSE), IF(OR(D45="QA", D45="Revision"), _xlfn.CONCAT("/", H45), "")))</f>
        <v/>
      </c>
      <c r="D45" s="42"/>
      <c r="E45" s="41"/>
      <c r="F45" s="41"/>
      <c r="G45" s="42"/>
      <c r="H45" s="41"/>
      <c r="I45" s="44"/>
      <c r="J45" s="44"/>
      <c r="K45" s="43" t="str">
        <f t="shared" ca="1" si="0"/>
        <v/>
      </c>
      <c r="L45" s="45"/>
      <c r="M45" s="45"/>
      <c r="N45" s="43" t="str">
        <f>IF(ISBLANK(L45), "", L45*VLOOKUP($F45,Internal!$B$26:$C$32,2,FALSE))</f>
        <v/>
      </c>
      <c r="O45" s="43" t="str">
        <f>IF(ISBLANK(M45), "", M45*VLOOKUP($F45,Internal!$B$26:$C$32,2,FALSE))</f>
        <v/>
      </c>
      <c r="P45" s="42"/>
    </row>
    <row r="46" spans="2:16" ht="9.4" customHeight="1" x14ac:dyDescent="0.35">
      <c r="B46" s="39">
        <v>36</v>
      </c>
      <c r="C46" s="40" t="str">
        <f>IF(ISBLANK(D46), "", _xlfn.CONCAT("T", TEXT(B46, "0000"), "/", VLOOKUP(D46, Internal!$B$35:C$39, 2, FALSE), IF(OR(D46="QA", D46="Revision"), _xlfn.CONCAT("/", H46), "")))</f>
        <v/>
      </c>
      <c r="D46" s="42"/>
      <c r="E46" s="41"/>
      <c r="F46" s="41"/>
      <c r="G46" s="42"/>
      <c r="H46" s="41"/>
      <c r="I46" s="44"/>
      <c r="J46" s="44"/>
      <c r="K46" s="43" t="str">
        <f t="shared" ca="1" si="0"/>
        <v/>
      </c>
      <c r="L46" s="45"/>
      <c r="M46" s="45"/>
      <c r="N46" s="43" t="str">
        <f>IF(ISBLANK(L46), "", L46*VLOOKUP($F46,Internal!$B$26:$C$32,2,FALSE))</f>
        <v/>
      </c>
      <c r="O46" s="43" t="str">
        <f>IF(ISBLANK(M46), "", M46*VLOOKUP($F46,Internal!$B$26:$C$32,2,FALSE))</f>
        <v/>
      </c>
      <c r="P46" s="42"/>
    </row>
    <row r="47" spans="2:16" ht="9.4" customHeight="1" x14ac:dyDescent="0.35">
      <c r="B47" s="39">
        <v>37</v>
      </c>
      <c r="C47" s="40" t="str">
        <f>IF(ISBLANK(D47), "", _xlfn.CONCAT("T", TEXT(B47, "0000"), "/", VLOOKUP(D47, Internal!$B$35:C$39, 2, FALSE), IF(OR(D47="QA", D47="Revision"), _xlfn.CONCAT("/", H47), "")))</f>
        <v/>
      </c>
      <c r="D47" s="42"/>
      <c r="E47" s="41"/>
      <c r="F47" s="41"/>
      <c r="G47" s="42"/>
      <c r="H47" s="41"/>
      <c r="I47" s="44"/>
      <c r="J47" s="44"/>
      <c r="K47" s="43" t="str">
        <f t="shared" ca="1" si="0"/>
        <v/>
      </c>
      <c r="L47" s="45"/>
      <c r="M47" s="45"/>
      <c r="N47" s="43" t="str">
        <f>IF(ISBLANK(L47), "", L47*VLOOKUP($F47,Internal!$B$26:$C$32,2,FALSE))</f>
        <v/>
      </c>
      <c r="O47" s="43" t="str">
        <f>IF(ISBLANK(M47), "", M47*VLOOKUP($F47,Internal!$B$26:$C$32,2,FALSE))</f>
        <v/>
      </c>
      <c r="P47" s="42"/>
    </row>
    <row r="48" spans="2:16" ht="9.4" customHeight="1" x14ac:dyDescent="0.35">
      <c r="B48" s="39">
        <v>38</v>
      </c>
      <c r="C48" s="40" t="str">
        <f>IF(ISBLANK(D48), "", _xlfn.CONCAT("T", TEXT(B48, "0000"), "/", VLOOKUP(D48, Internal!$B$35:C$39, 2, FALSE), IF(OR(D48="QA", D48="Revision"), _xlfn.CONCAT("/", H48), "")))</f>
        <v/>
      </c>
      <c r="D48" s="42"/>
      <c r="E48" s="41"/>
      <c r="F48" s="41"/>
      <c r="G48" s="42"/>
      <c r="H48" s="41"/>
      <c r="I48" s="44"/>
      <c r="J48" s="44"/>
      <c r="K48" s="43" t="str">
        <f t="shared" ca="1" si="0"/>
        <v/>
      </c>
      <c r="L48" s="45"/>
      <c r="M48" s="45"/>
      <c r="N48" s="43" t="str">
        <f>IF(ISBLANK(L48), "", L48*VLOOKUP($F48,Internal!$B$26:$C$32,2,FALSE))</f>
        <v/>
      </c>
      <c r="O48" s="43" t="str">
        <f>IF(ISBLANK(M48), "", M48*VLOOKUP($F48,Internal!$B$26:$C$32,2,FALSE))</f>
        <v/>
      </c>
      <c r="P48" s="42"/>
    </row>
    <row r="49" spans="2:16" ht="9.4" customHeight="1" x14ac:dyDescent="0.35">
      <c r="B49" s="39">
        <v>39</v>
      </c>
      <c r="C49" s="40" t="str">
        <f>IF(ISBLANK(D49), "", _xlfn.CONCAT("T", TEXT(B49, "0000"), "/", VLOOKUP(D49, Internal!$B$35:C$39, 2, FALSE), IF(OR(D49="QA", D49="Revision"), _xlfn.CONCAT("/", H49), "")))</f>
        <v/>
      </c>
      <c r="D49" s="42"/>
      <c r="E49" s="41"/>
      <c r="F49" s="41"/>
      <c r="G49" s="42"/>
      <c r="H49" s="41"/>
      <c r="I49" s="44"/>
      <c r="J49" s="44"/>
      <c r="K49" s="43" t="str">
        <f t="shared" ca="1" si="0"/>
        <v/>
      </c>
      <c r="L49" s="45"/>
      <c r="M49" s="45"/>
      <c r="N49" s="43" t="str">
        <f>IF(ISBLANK(L49), "", L49*VLOOKUP($F49,Internal!$B$26:$C$32,2,FALSE))</f>
        <v/>
      </c>
      <c r="O49" s="43" t="str">
        <f>IF(ISBLANK(M49), "", M49*VLOOKUP($F49,Internal!$B$26:$C$32,2,FALSE))</f>
        <v/>
      </c>
      <c r="P49" s="42"/>
    </row>
    <row r="50" spans="2:16" ht="9.4" customHeight="1" x14ac:dyDescent="0.35">
      <c r="B50" s="39">
        <v>40</v>
      </c>
      <c r="C50" s="40" t="str">
        <f>IF(ISBLANK(D50), "", _xlfn.CONCAT("T", TEXT(B50, "0000"), "/", VLOOKUP(D50, Internal!$B$35:C$39, 2, FALSE), IF(OR(D50="QA", D50="Revision"), _xlfn.CONCAT("/", H50), "")))</f>
        <v/>
      </c>
      <c r="D50" s="42"/>
      <c r="E50" s="41"/>
      <c r="F50" s="41"/>
      <c r="G50" s="42"/>
      <c r="H50" s="41"/>
      <c r="I50" s="44"/>
      <c r="J50" s="44"/>
      <c r="K50" s="43" t="str">
        <f t="shared" ca="1" si="0"/>
        <v/>
      </c>
      <c r="L50" s="45"/>
      <c r="M50" s="45"/>
      <c r="N50" s="43" t="str">
        <f>IF(ISBLANK(L50), "", L50*VLOOKUP($F50,Internal!$B$26:$C$32,2,FALSE))</f>
        <v/>
      </c>
      <c r="O50" s="43" t="str">
        <f>IF(ISBLANK(M50), "", M50*VLOOKUP($F50,Internal!$B$26:$C$32,2,FALSE))</f>
        <v/>
      </c>
      <c r="P50" s="42"/>
    </row>
    <row r="51" spans="2:16" ht="9.4" customHeight="1" x14ac:dyDescent="0.35">
      <c r="B51" s="39">
        <v>41</v>
      </c>
      <c r="C51" s="40" t="str">
        <f>IF(ISBLANK(D51), "", _xlfn.CONCAT("T", TEXT(B51, "0000"), "/", VLOOKUP(D51, Internal!$B$35:C$39, 2, FALSE), IF(OR(D51="QA", D51="Revision"), _xlfn.CONCAT("/", H51), "")))</f>
        <v/>
      </c>
      <c r="D51" s="42"/>
      <c r="E51" s="41"/>
      <c r="F51" s="41"/>
      <c r="G51" s="42"/>
      <c r="H51" s="41"/>
      <c r="I51" s="44"/>
      <c r="J51" s="44"/>
      <c r="K51" s="43" t="str">
        <f t="shared" ref="K51:K82" ca="1" si="1">IF(OR(I51="",J51=""),"",IF(AND(J51&lt;&gt;"",I51&gt;=NOW()),"Planned",IF(AND(J51&lt;&gt;"",J51&lt;NOW()),"Completed","Ongoing")))</f>
        <v/>
      </c>
      <c r="L51" s="45"/>
      <c r="M51" s="45"/>
      <c r="N51" s="43" t="str">
        <f>IF(ISBLANK(L51), "", L51*VLOOKUP($F51,Internal!$B$26:$C$32,2,FALSE))</f>
        <v/>
      </c>
      <c r="O51" s="43" t="str">
        <f>IF(ISBLANK(M51), "", M51*VLOOKUP($F51,Internal!$B$26:$C$32,2,FALSE))</f>
        <v/>
      </c>
      <c r="P51" s="42"/>
    </row>
    <row r="52" spans="2:16" ht="9.4" customHeight="1" x14ac:dyDescent="0.35">
      <c r="B52" s="39">
        <v>42</v>
      </c>
      <c r="C52" s="40" t="str">
        <f>IF(ISBLANK(D52), "", _xlfn.CONCAT("T", TEXT(B52, "0000"), "/", VLOOKUP(D52, Internal!$B$35:C$39, 2, FALSE), IF(OR(D52="QA", D52="Revision"), _xlfn.CONCAT("/", H52), "")))</f>
        <v/>
      </c>
      <c r="D52" s="42"/>
      <c r="E52" s="41"/>
      <c r="F52" s="41"/>
      <c r="G52" s="42"/>
      <c r="H52" s="41"/>
      <c r="I52" s="44"/>
      <c r="J52" s="44"/>
      <c r="K52" s="43" t="str">
        <f t="shared" ca="1" si="1"/>
        <v/>
      </c>
      <c r="L52" s="45"/>
      <c r="M52" s="45"/>
      <c r="N52" s="43" t="str">
        <f>IF(ISBLANK(L52), "", L52*VLOOKUP($F52,Internal!$B$26:$C$32,2,FALSE))</f>
        <v/>
      </c>
      <c r="O52" s="43" t="str">
        <f>IF(ISBLANK(M52), "", M52*VLOOKUP($F52,Internal!$B$26:$C$32,2,FALSE))</f>
        <v/>
      </c>
      <c r="P52" s="42"/>
    </row>
    <row r="53" spans="2:16" ht="9.4" customHeight="1" x14ac:dyDescent="0.35">
      <c r="B53" s="39">
        <v>43</v>
      </c>
      <c r="C53" s="40" t="str">
        <f>IF(ISBLANK(D53), "", _xlfn.CONCAT("T", TEXT(B53, "0000"), "/", VLOOKUP(D53, Internal!$B$35:C$39, 2, FALSE), IF(OR(D53="QA", D53="Revision"), _xlfn.CONCAT("/", H53), "")))</f>
        <v/>
      </c>
      <c r="D53" s="42"/>
      <c r="E53" s="41"/>
      <c r="F53" s="41"/>
      <c r="G53" s="42"/>
      <c r="H53" s="41"/>
      <c r="I53" s="44"/>
      <c r="J53" s="44"/>
      <c r="K53" s="43" t="str">
        <f t="shared" ca="1" si="1"/>
        <v/>
      </c>
      <c r="L53" s="45"/>
      <c r="M53" s="45"/>
      <c r="N53" s="43" t="str">
        <f>IF(ISBLANK(L53), "", L53*VLOOKUP($F53,Internal!$B$26:$C$32,2,FALSE))</f>
        <v/>
      </c>
      <c r="O53" s="43" t="str">
        <f>IF(ISBLANK(M53), "", M53*VLOOKUP($F53,Internal!$B$26:$C$32,2,FALSE))</f>
        <v/>
      </c>
      <c r="P53" s="42"/>
    </row>
    <row r="54" spans="2:16" ht="9.4" customHeight="1" x14ac:dyDescent="0.35">
      <c r="B54" s="39">
        <v>44</v>
      </c>
      <c r="C54" s="40" t="str">
        <f>IF(ISBLANK(D54), "", _xlfn.CONCAT("T", TEXT(B54, "0000"), "/", VLOOKUP(D54, Internal!$B$35:C$39, 2, FALSE), IF(OR(D54="QA", D54="Revision"), _xlfn.CONCAT("/", H54), "")))</f>
        <v/>
      </c>
      <c r="D54" s="42"/>
      <c r="E54" s="41"/>
      <c r="F54" s="41"/>
      <c r="G54" s="42"/>
      <c r="H54" s="41"/>
      <c r="I54" s="44"/>
      <c r="J54" s="44"/>
      <c r="K54" s="43" t="str">
        <f t="shared" ca="1" si="1"/>
        <v/>
      </c>
      <c r="L54" s="45"/>
      <c r="M54" s="45"/>
      <c r="N54" s="43" t="str">
        <f>IF(ISBLANK(L54), "", L54*VLOOKUP($F54,Internal!$B$26:$C$32,2,FALSE))</f>
        <v/>
      </c>
      <c r="O54" s="43" t="str">
        <f>IF(ISBLANK(M54), "", M54*VLOOKUP($F54,Internal!$B$26:$C$32,2,FALSE))</f>
        <v/>
      </c>
      <c r="P54" s="42"/>
    </row>
    <row r="55" spans="2:16" ht="9.4" customHeight="1" x14ac:dyDescent="0.35">
      <c r="B55" s="39">
        <v>45</v>
      </c>
      <c r="C55" s="40" t="str">
        <f>IF(ISBLANK(D55), "", _xlfn.CONCAT("T", TEXT(B55, "0000"), "/", VLOOKUP(D55, Internal!$B$35:C$39, 2, FALSE), IF(OR(D55="QA", D55="Revision"), _xlfn.CONCAT("/", H55), "")))</f>
        <v/>
      </c>
      <c r="D55" s="42"/>
      <c r="E55" s="41"/>
      <c r="F55" s="41"/>
      <c r="G55" s="42"/>
      <c r="H55" s="41"/>
      <c r="I55" s="44"/>
      <c r="J55" s="44"/>
      <c r="K55" s="43" t="str">
        <f t="shared" ca="1" si="1"/>
        <v/>
      </c>
      <c r="L55" s="45"/>
      <c r="M55" s="45"/>
      <c r="N55" s="43" t="str">
        <f>IF(ISBLANK(L55), "", L55*VLOOKUP($F55,Internal!$B$26:$C$32,2,FALSE))</f>
        <v/>
      </c>
      <c r="O55" s="43" t="str">
        <f>IF(ISBLANK(M55), "", M55*VLOOKUP($F55,Internal!$B$26:$C$32,2,FALSE))</f>
        <v/>
      </c>
      <c r="P55" s="42"/>
    </row>
    <row r="56" spans="2:16" ht="9.4" customHeight="1" x14ac:dyDescent="0.35">
      <c r="B56" s="39">
        <v>46</v>
      </c>
      <c r="C56" s="40" t="str">
        <f>IF(ISBLANK(D56), "", _xlfn.CONCAT("T", TEXT(B56, "0000"), "/", VLOOKUP(D56, Internal!$B$35:C$39, 2, FALSE), IF(OR(D56="QA", D56="Revision"), _xlfn.CONCAT("/", H56), "")))</f>
        <v/>
      </c>
      <c r="D56" s="42"/>
      <c r="E56" s="41"/>
      <c r="F56" s="41"/>
      <c r="G56" s="42"/>
      <c r="H56" s="41"/>
      <c r="I56" s="44"/>
      <c r="J56" s="44"/>
      <c r="K56" s="43" t="str">
        <f t="shared" ca="1" si="1"/>
        <v/>
      </c>
      <c r="L56" s="45"/>
      <c r="M56" s="45"/>
      <c r="N56" s="43" t="str">
        <f>IF(ISBLANK(L56), "", L56*VLOOKUP($F56,Internal!$B$26:$C$32,2,FALSE))</f>
        <v/>
      </c>
      <c r="O56" s="43" t="str">
        <f>IF(ISBLANK(M56), "", M56*VLOOKUP($F56,Internal!$B$26:$C$32,2,FALSE))</f>
        <v/>
      </c>
      <c r="P56" s="42"/>
    </row>
    <row r="57" spans="2:16" ht="9.4" customHeight="1" x14ac:dyDescent="0.35">
      <c r="B57" s="39">
        <v>47</v>
      </c>
      <c r="C57" s="40" t="str">
        <f>IF(ISBLANK(D57), "", _xlfn.CONCAT("T", TEXT(B57, "0000"), "/", VLOOKUP(D57, Internal!$B$35:C$39, 2, FALSE), IF(OR(D57="QA", D57="Revision"), _xlfn.CONCAT("/", H57), "")))</f>
        <v/>
      </c>
      <c r="D57" s="42"/>
      <c r="E57" s="41"/>
      <c r="F57" s="41"/>
      <c r="G57" s="42"/>
      <c r="H57" s="41"/>
      <c r="I57" s="44"/>
      <c r="J57" s="44"/>
      <c r="K57" s="43" t="str">
        <f t="shared" ca="1" si="1"/>
        <v/>
      </c>
      <c r="L57" s="45"/>
      <c r="M57" s="45"/>
      <c r="N57" s="43" t="str">
        <f>IF(ISBLANK(L57), "", L57*VLOOKUP($F57,Internal!$B$26:$C$32,2,FALSE))</f>
        <v/>
      </c>
      <c r="O57" s="43" t="str">
        <f>IF(ISBLANK(M57), "", M57*VLOOKUP($F57,Internal!$B$26:$C$32,2,FALSE))</f>
        <v/>
      </c>
      <c r="P57" s="42"/>
    </row>
    <row r="58" spans="2:16" ht="9.4" customHeight="1" x14ac:dyDescent="0.35">
      <c r="B58" s="39">
        <v>48</v>
      </c>
      <c r="C58" s="40" t="str">
        <f>IF(ISBLANK(D58), "", _xlfn.CONCAT("T", TEXT(B58, "0000"), "/", VLOOKUP(D58, Internal!$B$35:C$39, 2, FALSE), IF(OR(D58="QA", D58="Revision"), _xlfn.CONCAT("/", H58), "")))</f>
        <v/>
      </c>
      <c r="D58" s="42"/>
      <c r="E58" s="41"/>
      <c r="F58" s="41"/>
      <c r="G58" s="42"/>
      <c r="H58" s="41"/>
      <c r="I58" s="44"/>
      <c r="J58" s="44"/>
      <c r="K58" s="43" t="str">
        <f t="shared" ca="1" si="1"/>
        <v/>
      </c>
      <c r="L58" s="45"/>
      <c r="M58" s="45"/>
      <c r="N58" s="43" t="str">
        <f>IF(ISBLANK(L58), "", L58*VLOOKUP($F58,Internal!$B$26:$C$32,2,FALSE))</f>
        <v/>
      </c>
      <c r="O58" s="43" t="str">
        <f>IF(ISBLANK(M58), "", M58*VLOOKUP($F58,Internal!$B$26:$C$32,2,FALSE))</f>
        <v/>
      </c>
      <c r="P58" s="42"/>
    </row>
    <row r="59" spans="2:16" ht="9.4" customHeight="1" x14ac:dyDescent="0.35">
      <c r="B59" s="39">
        <v>49</v>
      </c>
      <c r="C59" s="40" t="str">
        <f>IF(ISBLANK(D59), "", _xlfn.CONCAT("T", TEXT(B59, "0000"), "/", VLOOKUP(D59, Internal!$B$35:C$39, 2, FALSE), IF(OR(D59="QA", D59="Revision"), _xlfn.CONCAT("/", H59), "")))</f>
        <v/>
      </c>
      <c r="D59" s="42"/>
      <c r="E59" s="41"/>
      <c r="F59" s="41"/>
      <c r="G59" s="42"/>
      <c r="H59" s="41"/>
      <c r="I59" s="44"/>
      <c r="J59" s="44"/>
      <c r="K59" s="43" t="str">
        <f t="shared" ca="1" si="1"/>
        <v/>
      </c>
      <c r="L59" s="45"/>
      <c r="M59" s="45"/>
      <c r="N59" s="43" t="str">
        <f>IF(ISBLANK(L59), "", L59*VLOOKUP($F59,Internal!$B$26:$C$32,2,FALSE))</f>
        <v/>
      </c>
      <c r="O59" s="43" t="str">
        <f>IF(ISBLANK(M59), "", M59*VLOOKUP($F59,Internal!$B$26:$C$32,2,FALSE))</f>
        <v/>
      </c>
      <c r="P59" s="42"/>
    </row>
    <row r="60" spans="2:16" ht="9.4" customHeight="1" x14ac:dyDescent="0.35">
      <c r="B60" s="39">
        <v>50</v>
      </c>
      <c r="C60" s="40" t="str">
        <f>IF(ISBLANK(D60), "", _xlfn.CONCAT("T", TEXT(B60, "0000"), "/", VLOOKUP(D60, Internal!$B$35:C$39, 2, FALSE), IF(OR(D60="QA", D60="Revision"), _xlfn.CONCAT("/", H60), "")))</f>
        <v/>
      </c>
      <c r="D60" s="42"/>
      <c r="E60" s="41"/>
      <c r="F60" s="41"/>
      <c r="G60" s="42"/>
      <c r="H60" s="41"/>
      <c r="I60" s="44"/>
      <c r="J60" s="44"/>
      <c r="K60" s="43" t="str">
        <f t="shared" ca="1" si="1"/>
        <v/>
      </c>
      <c r="L60" s="45"/>
      <c r="M60" s="45"/>
      <c r="N60" s="43" t="str">
        <f>IF(ISBLANK(L60), "", L60*VLOOKUP($F60,Internal!$B$26:$C$32,2,FALSE))</f>
        <v/>
      </c>
      <c r="O60" s="43" t="str">
        <f>IF(ISBLANK(M60), "", M60*VLOOKUP($F60,Internal!$B$26:$C$32,2,FALSE))</f>
        <v/>
      </c>
      <c r="P60" s="42"/>
    </row>
    <row r="61" spans="2:16" ht="9.4" customHeight="1" x14ac:dyDescent="0.35">
      <c r="B61" s="39">
        <v>51</v>
      </c>
      <c r="C61" s="40" t="str">
        <f>IF(ISBLANK(D61), "", _xlfn.CONCAT("T", TEXT(B61, "0000"), "/", VLOOKUP(D61, Internal!$B$35:C$39, 2, FALSE), IF(OR(D61="QA", D61="Revision"), _xlfn.CONCAT("/", H61), "")))</f>
        <v/>
      </c>
      <c r="D61" s="42"/>
      <c r="E61" s="41"/>
      <c r="F61" s="41"/>
      <c r="G61" s="42"/>
      <c r="H61" s="41"/>
      <c r="I61" s="44"/>
      <c r="J61" s="44"/>
      <c r="K61" s="43" t="str">
        <f t="shared" ca="1" si="1"/>
        <v/>
      </c>
      <c r="L61" s="45"/>
      <c r="M61" s="45"/>
      <c r="N61" s="43" t="str">
        <f>IF(ISBLANK(L61), "", L61*VLOOKUP($F61,Internal!$B$26:$C$32,2,FALSE))</f>
        <v/>
      </c>
      <c r="O61" s="43" t="str">
        <f>IF(ISBLANK(M61), "", M61*VLOOKUP($F61,Internal!$B$26:$C$32,2,FALSE))</f>
        <v/>
      </c>
      <c r="P61" s="42"/>
    </row>
    <row r="62" spans="2:16" ht="9.4" customHeight="1" x14ac:dyDescent="0.35">
      <c r="B62" s="39">
        <v>52</v>
      </c>
      <c r="C62" s="40" t="str">
        <f>IF(ISBLANK(D62), "", _xlfn.CONCAT("T", TEXT(B62, "0000"), "/", VLOOKUP(D62, Internal!$B$35:C$39, 2, FALSE), IF(OR(D62="QA", D62="Revision"), _xlfn.CONCAT("/", H62), "")))</f>
        <v/>
      </c>
      <c r="D62" s="42"/>
      <c r="E62" s="41"/>
      <c r="F62" s="41"/>
      <c r="G62" s="42"/>
      <c r="H62" s="41"/>
      <c r="I62" s="44"/>
      <c r="J62" s="44"/>
      <c r="K62" s="43" t="str">
        <f t="shared" ca="1" si="1"/>
        <v/>
      </c>
      <c r="L62" s="45"/>
      <c r="M62" s="45"/>
      <c r="N62" s="43" t="str">
        <f>IF(ISBLANK(L62), "", L62*VLOOKUP($F62,Internal!$B$26:$C$32,2,FALSE))</f>
        <v/>
      </c>
      <c r="O62" s="43" t="str">
        <f>IF(ISBLANK(M62), "", M62*VLOOKUP($F62,Internal!$B$26:$C$32,2,FALSE))</f>
        <v/>
      </c>
      <c r="P62" s="42"/>
    </row>
    <row r="63" spans="2:16" ht="9.4" customHeight="1" x14ac:dyDescent="0.35">
      <c r="B63" s="39">
        <v>53</v>
      </c>
      <c r="C63" s="40" t="str">
        <f>IF(ISBLANK(D63), "", _xlfn.CONCAT("T", TEXT(B63, "0000"), "/", VLOOKUP(D63, Internal!$B$35:C$39, 2, FALSE), IF(OR(D63="QA", D63="Revision"), _xlfn.CONCAT("/", H63), "")))</f>
        <v/>
      </c>
      <c r="D63" s="42"/>
      <c r="E63" s="41"/>
      <c r="F63" s="41"/>
      <c r="G63" s="42"/>
      <c r="H63" s="41"/>
      <c r="I63" s="44"/>
      <c r="J63" s="44"/>
      <c r="K63" s="43" t="str">
        <f t="shared" ca="1" si="1"/>
        <v/>
      </c>
      <c r="L63" s="45"/>
      <c r="M63" s="45"/>
      <c r="N63" s="43" t="str">
        <f>IF(ISBLANK(L63), "", L63*VLOOKUP($F63,Internal!$B$26:$C$32,2,FALSE))</f>
        <v/>
      </c>
      <c r="O63" s="43" t="str">
        <f>IF(ISBLANK(M63), "", M63*VLOOKUP($F63,Internal!$B$26:$C$32,2,FALSE))</f>
        <v/>
      </c>
      <c r="P63" s="42"/>
    </row>
    <row r="64" spans="2:16" ht="9.4" customHeight="1" x14ac:dyDescent="0.35">
      <c r="B64" s="39">
        <v>54</v>
      </c>
      <c r="C64" s="40" t="str">
        <f>IF(ISBLANK(D64), "", _xlfn.CONCAT("T", TEXT(B64, "0000"), "/", VLOOKUP(D64, Internal!$B$35:C$39, 2, FALSE), IF(OR(D64="QA", D64="Revision"), _xlfn.CONCAT("/", H64), "")))</f>
        <v/>
      </c>
      <c r="D64" s="42"/>
      <c r="E64" s="41"/>
      <c r="F64" s="41"/>
      <c r="G64" s="42"/>
      <c r="H64" s="41"/>
      <c r="I64" s="44"/>
      <c r="J64" s="44"/>
      <c r="K64" s="43" t="str">
        <f t="shared" ca="1" si="1"/>
        <v/>
      </c>
      <c r="L64" s="45"/>
      <c r="M64" s="45"/>
      <c r="N64" s="43" t="str">
        <f>IF(ISBLANK(L64), "", L64*VLOOKUP($F64,Internal!$B$26:$C$32,2,FALSE))</f>
        <v/>
      </c>
      <c r="O64" s="43" t="str">
        <f>IF(ISBLANK(M64), "", M64*VLOOKUP($F64,Internal!$B$26:$C$32,2,FALSE))</f>
        <v/>
      </c>
      <c r="P64" s="42"/>
    </row>
    <row r="65" spans="2:16" ht="9.4" customHeight="1" x14ac:dyDescent="0.35">
      <c r="B65" s="39">
        <v>55</v>
      </c>
      <c r="C65" s="40" t="str">
        <f>IF(ISBLANK(D65), "", _xlfn.CONCAT("T", TEXT(B65, "0000"), "/", VLOOKUP(D65, Internal!$B$35:C$39, 2, FALSE), IF(OR(D65="QA", D65="Revision"), _xlfn.CONCAT("/", H65), "")))</f>
        <v/>
      </c>
      <c r="D65" s="42"/>
      <c r="E65" s="41"/>
      <c r="F65" s="41"/>
      <c r="G65" s="42"/>
      <c r="H65" s="41"/>
      <c r="I65" s="44"/>
      <c r="J65" s="44"/>
      <c r="K65" s="43" t="str">
        <f t="shared" ca="1" si="1"/>
        <v/>
      </c>
      <c r="L65" s="45"/>
      <c r="M65" s="45"/>
      <c r="N65" s="43" t="str">
        <f>IF(ISBLANK(L65), "", L65*VLOOKUP($F65,Internal!$B$26:$C$32,2,FALSE))</f>
        <v/>
      </c>
      <c r="O65" s="43" t="str">
        <f>IF(ISBLANK(M65), "", M65*VLOOKUP($F65,Internal!$B$26:$C$32,2,FALSE))</f>
        <v/>
      </c>
      <c r="P65" s="42"/>
    </row>
    <row r="66" spans="2:16" ht="9.4" customHeight="1" x14ac:dyDescent="0.35">
      <c r="B66" s="39">
        <v>56</v>
      </c>
      <c r="C66" s="40" t="str">
        <f>IF(ISBLANK(D66), "", _xlfn.CONCAT("T", TEXT(B66, "0000"), "/", VLOOKUP(D66, Internal!$B$35:C$39, 2, FALSE), IF(OR(D66="QA", D66="Revision"), _xlfn.CONCAT("/", H66), "")))</f>
        <v/>
      </c>
      <c r="D66" s="42"/>
      <c r="E66" s="41"/>
      <c r="F66" s="41"/>
      <c r="G66" s="42"/>
      <c r="H66" s="41"/>
      <c r="I66" s="44"/>
      <c r="J66" s="44"/>
      <c r="K66" s="43" t="str">
        <f t="shared" ca="1" si="1"/>
        <v/>
      </c>
      <c r="L66" s="45"/>
      <c r="M66" s="45"/>
      <c r="N66" s="43" t="str">
        <f>IF(ISBLANK(L66), "", L66*VLOOKUP($F66,Internal!$B$26:$C$32,2,FALSE))</f>
        <v/>
      </c>
      <c r="O66" s="43" t="str">
        <f>IF(ISBLANK(M66), "", M66*VLOOKUP($F66,Internal!$B$26:$C$32,2,FALSE))</f>
        <v/>
      </c>
      <c r="P66" s="42"/>
    </row>
    <row r="67" spans="2:16" ht="9.4" customHeight="1" x14ac:dyDescent="0.35">
      <c r="B67" s="39">
        <v>57</v>
      </c>
      <c r="C67" s="40" t="str">
        <f>IF(ISBLANK(D67), "", _xlfn.CONCAT("T", TEXT(B67, "0000"), "/", VLOOKUP(D67, Internal!$B$35:C$39, 2, FALSE), IF(OR(D67="QA", D67="Revision"), _xlfn.CONCAT("/", H67), "")))</f>
        <v/>
      </c>
      <c r="D67" s="42"/>
      <c r="E67" s="41"/>
      <c r="F67" s="41"/>
      <c r="G67" s="42"/>
      <c r="H67" s="41"/>
      <c r="I67" s="44"/>
      <c r="J67" s="44"/>
      <c r="K67" s="43" t="str">
        <f t="shared" ca="1" si="1"/>
        <v/>
      </c>
      <c r="L67" s="45"/>
      <c r="M67" s="45"/>
      <c r="N67" s="43" t="str">
        <f>IF(ISBLANK(L67), "", L67*VLOOKUP($F67,Internal!$B$26:$C$32,2,FALSE))</f>
        <v/>
      </c>
      <c r="O67" s="43" t="str">
        <f>IF(ISBLANK(M67), "", M67*VLOOKUP($F67,Internal!$B$26:$C$32,2,FALSE))</f>
        <v/>
      </c>
      <c r="P67" s="42"/>
    </row>
    <row r="68" spans="2:16" ht="9.4" customHeight="1" x14ac:dyDescent="0.35">
      <c r="B68" s="39">
        <v>58</v>
      </c>
      <c r="C68" s="40" t="str">
        <f>IF(ISBLANK(D68), "", _xlfn.CONCAT("T", TEXT(B68, "0000"), "/", VLOOKUP(D68, Internal!$B$35:C$39, 2, FALSE), IF(OR(D68="QA", D68="Revision"), _xlfn.CONCAT("/", H68), "")))</f>
        <v/>
      </c>
      <c r="D68" s="42"/>
      <c r="E68" s="41"/>
      <c r="F68" s="41"/>
      <c r="G68" s="42"/>
      <c r="H68" s="41"/>
      <c r="I68" s="44"/>
      <c r="J68" s="44"/>
      <c r="K68" s="43" t="str">
        <f t="shared" ca="1" si="1"/>
        <v/>
      </c>
      <c r="L68" s="45"/>
      <c r="M68" s="45"/>
      <c r="N68" s="43" t="str">
        <f>IF(ISBLANK(L68), "", L68*VLOOKUP($F68,Internal!$B$26:$C$32,2,FALSE))</f>
        <v/>
      </c>
      <c r="O68" s="43" t="str">
        <f>IF(ISBLANK(M68), "", M68*VLOOKUP($F68,Internal!$B$26:$C$32,2,FALSE))</f>
        <v/>
      </c>
      <c r="P68" s="42"/>
    </row>
    <row r="69" spans="2:16" ht="9.4" customHeight="1" x14ac:dyDescent="0.35">
      <c r="B69" s="39">
        <v>59</v>
      </c>
      <c r="C69" s="40" t="str">
        <f>IF(ISBLANK(D69), "", _xlfn.CONCAT("T", TEXT(B69, "0000"), "/", VLOOKUP(D69, Internal!$B$35:C$39, 2, FALSE), IF(OR(D69="QA", D69="Revision"), _xlfn.CONCAT("/", H69), "")))</f>
        <v/>
      </c>
      <c r="D69" s="42"/>
      <c r="E69" s="41"/>
      <c r="F69" s="41"/>
      <c r="G69" s="42"/>
      <c r="H69" s="41"/>
      <c r="I69" s="44"/>
      <c r="J69" s="44"/>
      <c r="K69" s="43" t="str">
        <f t="shared" ca="1" si="1"/>
        <v/>
      </c>
      <c r="L69" s="45"/>
      <c r="M69" s="45"/>
      <c r="N69" s="43" t="str">
        <f>IF(ISBLANK(L69), "", L69*VLOOKUP($F69,Internal!$B$26:$C$32,2,FALSE))</f>
        <v/>
      </c>
      <c r="O69" s="43" t="str">
        <f>IF(ISBLANK(M69), "", M69*VLOOKUP($F69,Internal!$B$26:$C$32,2,FALSE))</f>
        <v/>
      </c>
      <c r="P69" s="42"/>
    </row>
    <row r="70" spans="2:16" ht="9.4" customHeight="1" x14ac:dyDescent="0.35">
      <c r="B70" s="39">
        <v>60</v>
      </c>
      <c r="C70" s="40" t="str">
        <f>IF(ISBLANK(D70), "", _xlfn.CONCAT("T", TEXT(B70, "0000"), "/", VLOOKUP(D70, Internal!$B$35:C$39, 2, FALSE), IF(OR(D70="QA", D70="Revision"), _xlfn.CONCAT("/", H70), "")))</f>
        <v/>
      </c>
      <c r="D70" s="42"/>
      <c r="E70" s="41"/>
      <c r="F70" s="41"/>
      <c r="G70" s="42"/>
      <c r="H70" s="41"/>
      <c r="I70" s="44"/>
      <c r="J70" s="44"/>
      <c r="K70" s="43" t="str">
        <f t="shared" ca="1" si="1"/>
        <v/>
      </c>
      <c r="L70" s="45"/>
      <c r="M70" s="45"/>
      <c r="N70" s="43" t="str">
        <f>IF(ISBLANK(L70), "", L70*VLOOKUP($F70,Internal!$B$26:$C$32,2,FALSE))</f>
        <v/>
      </c>
      <c r="O70" s="43" t="str">
        <f>IF(ISBLANK(M70), "", M70*VLOOKUP($F70,Internal!$B$26:$C$32,2,FALSE))</f>
        <v/>
      </c>
      <c r="P70" s="42"/>
    </row>
    <row r="71" spans="2:16" ht="9.4" customHeight="1" x14ac:dyDescent="0.35">
      <c r="B71" s="39">
        <v>61</v>
      </c>
      <c r="C71" s="40" t="str">
        <f>IF(ISBLANK(D71), "", _xlfn.CONCAT("T", TEXT(B71, "0000"), "/", VLOOKUP(D71, Internal!$B$35:C$39, 2, FALSE), IF(OR(D71="QA", D71="Revision"), _xlfn.CONCAT("/", H71), "")))</f>
        <v/>
      </c>
      <c r="D71" s="42"/>
      <c r="E71" s="41"/>
      <c r="F71" s="41"/>
      <c r="G71" s="42"/>
      <c r="H71" s="41"/>
      <c r="I71" s="44"/>
      <c r="J71" s="44"/>
      <c r="K71" s="43" t="str">
        <f t="shared" ca="1" si="1"/>
        <v/>
      </c>
      <c r="L71" s="45"/>
      <c r="M71" s="45"/>
      <c r="N71" s="43" t="str">
        <f>IF(ISBLANK(L71), "", L71*VLOOKUP($F71,Internal!$B$26:$C$32,2,FALSE))</f>
        <v/>
      </c>
      <c r="O71" s="43" t="str">
        <f>IF(ISBLANK(M71), "", M71*VLOOKUP($F71,Internal!$B$26:$C$32,2,FALSE))</f>
        <v/>
      </c>
      <c r="P71" s="42"/>
    </row>
    <row r="72" spans="2:16" ht="9.4" customHeight="1" x14ac:dyDescent="0.35">
      <c r="B72" s="39">
        <v>62</v>
      </c>
      <c r="C72" s="40" t="str">
        <f>IF(ISBLANK(D72), "", _xlfn.CONCAT("T", TEXT(B72, "0000"), "/", VLOOKUP(D72, Internal!$B$35:C$39, 2, FALSE), IF(OR(D72="QA", D72="Revision"), _xlfn.CONCAT("/", H72), "")))</f>
        <v/>
      </c>
      <c r="D72" s="42"/>
      <c r="E72" s="41"/>
      <c r="F72" s="41"/>
      <c r="G72" s="42"/>
      <c r="H72" s="41"/>
      <c r="I72" s="44"/>
      <c r="J72" s="44"/>
      <c r="K72" s="43" t="str">
        <f t="shared" ca="1" si="1"/>
        <v/>
      </c>
      <c r="L72" s="45"/>
      <c r="M72" s="45"/>
      <c r="N72" s="43" t="str">
        <f>IF(ISBLANK(L72), "", L72*VLOOKUP($F72,Internal!$B$26:$C$32,2,FALSE))</f>
        <v/>
      </c>
      <c r="O72" s="43" t="str">
        <f>IF(ISBLANK(M72), "", M72*VLOOKUP($F72,Internal!$B$26:$C$32,2,FALSE))</f>
        <v/>
      </c>
      <c r="P72" s="42"/>
    </row>
    <row r="73" spans="2:16" ht="9.4" customHeight="1" x14ac:dyDescent="0.35">
      <c r="B73" s="39">
        <v>63</v>
      </c>
      <c r="C73" s="40" t="str">
        <f>IF(ISBLANK(D73), "", _xlfn.CONCAT("T", TEXT(B73, "0000"), "/", VLOOKUP(D73, Internal!$B$35:C$39, 2, FALSE), IF(OR(D73="QA", D73="Revision"), _xlfn.CONCAT("/", H73), "")))</f>
        <v/>
      </c>
      <c r="D73" s="42"/>
      <c r="E73" s="41"/>
      <c r="F73" s="41"/>
      <c r="G73" s="42"/>
      <c r="H73" s="41"/>
      <c r="I73" s="44"/>
      <c r="J73" s="44"/>
      <c r="K73" s="43" t="str">
        <f t="shared" ca="1" si="1"/>
        <v/>
      </c>
      <c r="L73" s="45"/>
      <c r="M73" s="45"/>
      <c r="N73" s="43" t="str">
        <f>IF(ISBLANK(L73), "", L73*VLOOKUP($F73,Internal!$B$26:$C$32,2,FALSE))</f>
        <v/>
      </c>
      <c r="O73" s="43" t="str">
        <f>IF(ISBLANK(M73), "", M73*VLOOKUP($F73,Internal!$B$26:$C$32,2,FALSE))</f>
        <v/>
      </c>
      <c r="P73" s="42"/>
    </row>
    <row r="74" spans="2:16" ht="9.4" customHeight="1" x14ac:dyDescent="0.35">
      <c r="B74" s="39">
        <v>64</v>
      </c>
      <c r="C74" s="40" t="str">
        <f>IF(ISBLANK(D74), "", _xlfn.CONCAT("T", TEXT(B74, "0000"), "/", VLOOKUP(D74, Internal!$B$35:C$39, 2, FALSE), IF(OR(D74="QA", D74="Revision"), _xlfn.CONCAT("/", H74), "")))</f>
        <v/>
      </c>
      <c r="D74" s="42"/>
      <c r="E74" s="41"/>
      <c r="F74" s="41"/>
      <c r="G74" s="42"/>
      <c r="H74" s="41"/>
      <c r="I74" s="44"/>
      <c r="J74" s="44"/>
      <c r="K74" s="43" t="str">
        <f t="shared" ca="1" si="1"/>
        <v/>
      </c>
      <c r="L74" s="45"/>
      <c r="M74" s="45"/>
      <c r="N74" s="43" t="str">
        <f>IF(ISBLANK(L74), "", L74*VLOOKUP($F74,Internal!$B$26:$C$32,2,FALSE))</f>
        <v/>
      </c>
      <c r="O74" s="43" t="str">
        <f>IF(ISBLANK(M74), "", M74*VLOOKUP($F74,Internal!$B$26:$C$32,2,FALSE))</f>
        <v/>
      </c>
      <c r="P74" s="42"/>
    </row>
    <row r="75" spans="2:16" ht="9.4" customHeight="1" x14ac:dyDescent="0.35">
      <c r="B75" s="39">
        <v>65</v>
      </c>
      <c r="C75" s="40" t="str">
        <f>IF(ISBLANK(D75), "", _xlfn.CONCAT("T", TEXT(B75, "0000"), "/", VLOOKUP(D75, Internal!$B$35:C$39, 2, FALSE), IF(OR(D75="QA", D75="Revision"), _xlfn.CONCAT("/", H75), "")))</f>
        <v/>
      </c>
      <c r="D75" s="42"/>
      <c r="E75" s="41"/>
      <c r="F75" s="41"/>
      <c r="G75" s="42"/>
      <c r="H75" s="41"/>
      <c r="I75" s="44"/>
      <c r="J75" s="44"/>
      <c r="K75" s="43" t="str">
        <f t="shared" ca="1" si="1"/>
        <v/>
      </c>
      <c r="L75" s="45"/>
      <c r="M75" s="45"/>
      <c r="N75" s="43" t="str">
        <f>IF(ISBLANK(L75), "", L75*VLOOKUP($F75,Internal!$B$26:$C$32,2,FALSE))</f>
        <v/>
      </c>
      <c r="O75" s="43" t="str">
        <f>IF(ISBLANK(M75), "", M75*VLOOKUP($F75,Internal!$B$26:$C$32,2,FALSE))</f>
        <v/>
      </c>
      <c r="P75" s="42"/>
    </row>
    <row r="76" spans="2:16" ht="9.4" customHeight="1" x14ac:dyDescent="0.35">
      <c r="B76" s="39">
        <v>66</v>
      </c>
      <c r="C76" s="40" t="str">
        <f>IF(ISBLANK(D76), "", _xlfn.CONCAT("T", TEXT(B76, "0000"), "/", VLOOKUP(D76, Internal!$B$35:C$39, 2, FALSE), IF(OR(D76="QA", D76="Revision"), _xlfn.CONCAT("/", H76), "")))</f>
        <v/>
      </c>
      <c r="D76" s="42"/>
      <c r="E76" s="41"/>
      <c r="F76" s="41"/>
      <c r="G76" s="42"/>
      <c r="H76" s="41"/>
      <c r="I76" s="44"/>
      <c r="J76" s="44"/>
      <c r="K76" s="43" t="str">
        <f t="shared" ca="1" si="1"/>
        <v/>
      </c>
      <c r="L76" s="45"/>
      <c r="M76" s="45"/>
      <c r="N76" s="43" t="str">
        <f>IF(ISBLANK(L76), "", L76*VLOOKUP($F76,Internal!$B$26:$C$32,2,FALSE))</f>
        <v/>
      </c>
      <c r="O76" s="43" t="str">
        <f>IF(ISBLANK(M76), "", M76*VLOOKUP($F76,Internal!$B$26:$C$32,2,FALSE))</f>
        <v/>
      </c>
      <c r="P76" s="42"/>
    </row>
    <row r="77" spans="2:16" ht="9.4" customHeight="1" x14ac:dyDescent="0.35">
      <c r="B77" s="39">
        <v>67</v>
      </c>
      <c r="C77" s="40" t="str">
        <f>IF(ISBLANK(D77), "", _xlfn.CONCAT("T", TEXT(B77, "0000"), "/", VLOOKUP(D77, Internal!$B$35:C$39, 2, FALSE), IF(OR(D77="QA", D77="Revision"), _xlfn.CONCAT("/", H77), "")))</f>
        <v/>
      </c>
      <c r="D77" s="42"/>
      <c r="E77" s="41"/>
      <c r="F77" s="41"/>
      <c r="G77" s="42"/>
      <c r="H77" s="41"/>
      <c r="I77" s="44"/>
      <c r="J77" s="44"/>
      <c r="K77" s="43" t="str">
        <f t="shared" ca="1" si="1"/>
        <v/>
      </c>
      <c r="L77" s="45"/>
      <c r="M77" s="45"/>
      <c r="N77" s="43" t="str">
        <f>IF(ISBLANK(L77), "", L77*VLOOKUP($F77,Internal!$B$26:$C$32,2,FALSE))</f>
        <v/>
      </c>
      <c r="O77" s="43" t="str">
        <f>IF(ISBLANK(M77), "", M77*VLOOKUP($F77,Internal!$B$26:$C$32,2,FALSE))</f>
        <v/>
      </c>
      <c r="P77" s="42"/>
    </row>
    <row r="78" spans="2:16" ht="9.4" customHeight="1" x14ac:dyDescent="0.35">
      <c r="B78" s="39">
        <v>68</v>
      </c>
      <c r="C78" s="40" t="str">
        <f>IF(ISBLANK(D78), "", _xlfn.CONCAT("T", TEXT(B78, "0000"), "/", VLOOKUP(D78, Internal!$B$35:C$39, 2, FALSE), IF(OR(D78="QA", D78="Revision"), _xlfn.CONCAT("/", H78), "")))</f>
        <v/>
      </c>
      <c r="D78" s="42"/>
      <c r="E78" s="41"/>
      <c r="F78" s="41"/>
      <c r="G78" s="42"/>
      <c r="H78" s="41"/>
      <c r="I78" s="44"/>
      <c r="J78" s="44"/>
      <c r="K78" s="43" t="str">
        <f t="shared" ca="1" si="1"/>
        <v/>
      </c>
      <c r="L78" s="45"/>
      <c r="M78" s="45"/>
      <c r="N78" s="43" t="str">
        <f>IF(ISBLANK(L78), "", L78*VLOOKUP($F78,Internal!$B$26:$C$32,2,FALSE))</f>
        <v/>
      </c>
      <c r="O78" s="43" t="str">
        <f>IF(ISBLANK(M78), "", M78*VLOOKUP($F78,Internal!$B$26:$C$32,2,FALSE))</f>
        <v/>
      </c>
      <c r="P78" s="42"/>
    </row>
    <row r="79" spans="2:16" ht="9.4" customHeight="1" x14ac:dyDescent="0.35">
      <c r="B79" s="39">
        <v>69</v>
      </c>
      <c r="C79" s="40" t="str">
        <f>IF(ISBLANK(D79), "", _xlfn.CONCAT("T", TEXT(B79, "0000"), "/", VLOOKUP(D79, Internal!$B$35:C$39, 2, FALSE), IF(OR(D79="QA", D79="Revision"), _xlfn.CONCAT("/", H79), "")))</f>
        <v/>
      </c>
      <c r="D79" s="42"/>
      <c r="E79" s="41"/>
      <c r="F79" s="41"/>
      <c r="G79" s="42"/>
      <c r="H79" s="41"/>
      <c r="I79" s="44"/>
      <c r="J79" s="44"/>
      <c r="K79" s="43" t="str">
        <f t="shared" ca="1" si="1"/>
        <v/>
      </c>
      <c r="L79" s="45"/>
      <c r="M79" s="45"/>
      <c r="N79" s="43" t="str">
        <f>IF(ISBLANK(L79), "", L79*VLOOKUP($F79,Internal!$B$26:$C$32,2,FALSE))</f>
        <v/>
      </c>
      <c r="O79" s="43" t="str">
        <f>IF(ISBLANK(M79), "", M79*VLOOKUP($F79,Internal!$B$26:$C$32,2,FALSE))</f>
        <v/>
      </c>
      <c r="P79" s="42"/>
    </row>
    <row r="80" spans="2:16" ht="9.4" customHeight="1" x14ac:dyDescent="0.35">
      <c r="B80" s="39">
        <v>70</v>
      </c>
      <c r="C80" s="40" t="str">
        <f>IF(ISBLANK(D80), "", _xlfn.CONCAT("T", TEXT(B80, "0000"), "/", VLOOKUP(D80, Internal!$B$35:C$39, 2, FALSE), IF(OR(D80="QA", D80="Revision"), _xlfn.CONCAT("/", H80), "")))</f>
        <v/>
      </c>
      <c r="D80" s="42"/>
      <c r="E80" s="41"/>
      <c r="F80" s="41"/>
      <c r="G80" s="42"/>
      <c r="H80" s="41"/>
      <c r="I80" s="44"/>
      <c r="J80" s="44"/>
      <c r="K80" s="43" t="str">
        <f t="shared" ca="1" si="1"/>
        <v/>
      </c>
      <c r="L80" s="45"/>
      <c r="M80" s="45"/>
      <c r="N80" s="43" t="str">
        <f>IF(ISBLANK(L80), "", L80*VLOOKUP($F80,Internal!$B$26:$C$32,2,FALSE))</f>
        <v/>
      </c>
      <c r="O80" s="43" t="str">
        <f>IF(ISBLANK(M80), "", M80*VLOOKUP($F80,Internal!$B$26:$C$32,2,FALSE))</f>
        <v/>
      </c>
      <c r="P80" s="42"/>
    </row>
    <row r="81" spans="2:16" ht="9.4" customHeight="1" x14ac:dyDescent="0.35">
      <c r="B81" s="39">
        <v>71</v>
      </c>
      <c r="C81" s="40" t="str">
        <f>IF(ISBLANK(D81), "", _xlfn.CONCAT("T", TEXT(B81, "0000"), "/", VLOOKUP(D81, Internal!$B$35:C$39, 2, FALSE), IF(OR(D81="QA", D81="Revision"), _xlfn.CONCAT("/", H81), "")))</f>
        <v/>
      </c>
      <c r="D81" s="42"/>
      <c r="E81" s="41"/>
      <c r="F81" s="41"/>
      <c r="G81" s="42"/>
      <c r="H81" s="41"/>
      <c r="I81" s="44"/>
      <c r="J81" s="44"/>
      <c r="K81" s="43" t="str">
        <f t="shared" ca="1" si="1"/>
        <v/>
      </c>
      <c r="L81" s="45"/>
      <c r="M81" s="45"/>
      <c r="N81" s="43" t="str">
        <f>IF(ISBLANK(L81), "", L81*VLOOKUP($F81,Internal!$B$26:$C$32,2,FALSE))</f>
        <v/>
      </c>
      <c r="O81" s="43" t="str">
        <f>IF(ISBLANK(M81), "", M81*VLOOKUP($F81,Internal!$B$26:$C$32,2,FALSE))</f>
        <v/>
      </c>
      <c r="P81" s="42"/>
    </row>
    <row r="82" spans="2:16" ht="9.4" customHeight="1" x14ac:dyDescent="0.35">
      <c r="B82" s="39">
        <v>72</v>
      </c>
      <c r="C82" s="40" t="str">
        <f>IF(ISBLANK(D82), "", _xlfn.CONCAT("T", TEXT(B82, "0000"), "/", VLOOKUP(D82, Internal!$B$35:C$39, 2, FALSE), IF(OR(D82="QA", D82="Revision"), _xlfn.CONCAT("/", H82), "")))</f>
        <v/>
      </c>
      <c r="D82" s="42"/>
      <c r="E82" s="41"/>
      <c r="F82" s="41"/>
      <c r="G82" s="42"/>
      <c r="H82" s="41"/>
      <c r="I82" s="44"/>
      <c r="J82" s="44"/>
      <c r="K82" s="43" t="str">
        <f t="shared" ca="1" si="1"/>
        <v/>
      </c>
      <c r="L82" s="45"/>
      <c r="M82" s="45"/>
      <c r="N82" s="43" t="str">
        <f>IF(ISBLANK(L82), "", L82*VLOOKUP($F82,Internal!$B$26:$C$32,2,FALSE))</f>
        <v/>
      </c>
      <c r="O82" s="43" t="str">
        <f>IF(ISBLANK(M82), "", M82*VLOOKUP($F82,Internal!$B$26:$C$32,2,FALSE))</f>
        <v/>
      </c>
      <c r="P82" s="42"/>
    </row>
    <row r="83" spans="2:16" ht="9.4" customHeight="1" x14ac:dyDescent="0.35">
      <c r="B83" s="39">
        <v>73</v>
      </c>
      <c r="C83" s="40" t="str">
        <f>IF(ISBLANK(D83), "", _xlfn.CONCAT("T", TEXT(B83, "0000"), "/", VLOOKUP(D83, Internal!$B$35:C$39, 2, FALSE), IF(OR(D83="QA", D83="Revision"), _xlfn.CONCAT("/", H83), "")))</f>
        <v/>
      </c>
      <c r="D83" s="42"/>
      <c r="E83" s="41"/>
      <c r="F83" s="41"/>
      <c r="G83" s="42"/>
      <c r="H83" s="41"/>
      <c r="I83" s="44"/>
      <c r="J83" s="44"/>
      <c r="K83" s="43" t="str">
        <f t="shared" ref="K83:K114" ca="1" si="2">IF(OR(I83="",J83=""),"",IF(AND(J83&lt;&gt;"",I83&gt;=NOW()),"Planned",IF(AND(J83&lt;&gt;"",J83&lt;NOW()),"Completed","Ongoing")))</f>
        <v/>
      </c>
      <c r="L83" s="45"/>
      <c r="M83" s="45"/>
      <c r="N83" s="43" t="str">
        <f>IF(ISBLANK(L83), "", L83*VLOOKUP($F83,Internal!$B$26:$C$32,2,FALSE))</f>
        <v/>
      </c>
      <c r="O83" s="43" t="str">
        <f>IF(ISBLANK(M83), "", M83*VLOOKUP($F83,Internal!$B$26:$C$32,2,FALSE))</f>
        <v/>
      </c>
      <c r="P83" s="42"/>
    </row>
    <row r="84" spans="2:16" ht="9.4" customHeight="1" x14ac:dyDescent="0.35">
      <c r="B84" s="39">
        <v>74</v>
      </c>
      <c r="C84" s="40" t="str">
        <f>IF(ISBLANK(D84), "", _xlfn.CONCAT("T", TEXT(B84, "0000"), "/", VLOOKUP(D84, Internal!$B$35:C$39, 2, FALSE), IF(OR(D84="QA", D84="Revision"), _xlfn.CONCAT("/", H84), "")))</f>
        <v/>
      </c>
      <c r="D84" s="42"/>
      <c r="E84" s="41"/>
      <c r="F84" s="41"/>
      <c r="G84" s="42"/>
      <c r="H84" s="41"/>
      <c r="I84" s="44"/>
      <c r="J84" s="44"/>
      <c r="K84" s="43" t="str">
        <f t="shared" ca="1" si="2"/>
        <v/>
      </c>
      <c r="L84" s="45"/>
      <c r="M84" s="45"/>
      <c r="N84" s="43" t="str">
        <f>IF(ISBLANK(L84), "", L84*VLOOKUP($F84,Internal!$B$26:$C$32,2,FALSE))</f>
        <v/>
      </c>
      <c r="O84" s="43" t="str">
        <f>IF(ISBLANK(M84), "", M84*VLOOKUP($F84,Internal!$B$26:$C$32,2,FALSE))</f>
        <v/>
      </c>
      <c r="P84" s="42"/>
    </row>
    <row r="85" spans="2:16" ht="9.4" customHeight="1" x14ac:dyDescent="0.35">
      <c r="B85" s="39">
        <v>75</v>
      </c>
      <c r="C85" s="40" t="str">
        <f>IF(ISBLANK(D85), "", _xlfn.CONCAT("T", TEXT(B85, "0000"), "/", VLOOKUP(D85, Internal!$B$35:C$39, 2, FALSE), IF(OR(D85="QA", D85="Revision"), _xlfn.CONCAT("/", H85), "")))</f>
        <v/>
      </c>
      <c r="D85" s="42"/>
      <c r="E85" s="41"/>
      <c r="F85" s="41"/>
      <c r="G85" s="42"/>
      <c r="H85" s="41"/>
      <c r="I85" s="44"/>
      <c r="J85" s="44"/>
      <c r="K85" s="43" t="str">
        <f t="shared" ca="1" si="2"/>
        <v/>
      </c>
      <c r="L85" s="45"/>
      <c r="M85" s="45"/>
      <c r="N85" s="43" t="str">
        <f>IF(ISBLANK(L85), "", L85*VLOOKUP($F85,Internal!$B$26:$C$32,2,FALSE))</f>
        <v/>
      </c>
      <c r="O85" s="43" t="str">
        <f>IF(ISBLANK(M85), "", M85*VLOOKUP($F85,Internal!$B$26:$C$32,2,FALSE))</f>
        <v/>
      </c>
      <c r="P85" s="42"/>
    </row>
    <row r="86" spans="2:16" ht="9.4" customHeight="1" x14ac:dyDescent="0.35">
      <c r="B86" s="39">
        <v>76</v>
      </c>
      <c r="C86" s="40" t="str">
        <f>IF(ISBLANK(D86), "", _xlfn.CONCAT("T", TEXT(B86, "0000"), "/", VLOOKUP(D86, Internal!$B$35:C$39, 2, FALSE), IF(OR(D86="QA", D86="Revision"), _xlfn.CONCAT("/", H86), "")))</f>
        <v/>
      </c>
      <c r="D86" s="42"/>
      <c r="E86" s="41"/>
      <c r="F86" s="41"/>
      <c r="G86" s="42"/>
      <c r="H86" s="41"/>
      <c r="I86" s="44"/>
      <c r="J86" s="44"/>
      <c r="K86" s="43" t="str">
        <f t="shared" ca="1" si="2"/>
        <v/>
      </c>
      <c r="L86" s="45"/>
      <c r="M86" s="45"/>
      <c r="N86" s="43" t="str">
        <f>IF(ISBLANK(L86), "", L86*VLOOKUP($F86,Internal!$B$26:$C$32,2,FALSE))</f>
        <v/>
      </c>
      <c r="O86" s="43" t="str">
        <f>IF(ISBLANK(M86), "", M86*VLOOKUP($F86,Internal!$B$26:$C$32,2,FALSE))</f>
        <v/>
      </c>
      <c r="P86" s="42"/>
    </row>
    <row r="87" spans="2:16" ht="9.4" customHeight="1" x14ac:dyDescent="0.35">
      <c r="B87" s="39">
        <v>77</v>
      </c>
      <c r="C87" s="40" t="str">
        <f>IF(ISBLANK(D87), "", _xlfn.CONCAT("T", TEXT(B87, "0000"), "/", VLOOKUP(D87, Internal!$B$35:C$39, 2, FALSE), IF(OR(D87="QA", D87="Revision"), _xlfn.CONCAT("/", H87), "")))</f>
        <v/>
      </c>
      <c r="D87" s="42"/>
      <c r="E87" s="41"/>
      <c r="F87" s="41"/>
      <c r="G87" s="42"/>
      <c r="H87" s="41"/>
      <c r="I87" s="44"/>
      <c r="J87" s="44"/>
      <c r="K87" s="43" t="str">
        <f t="shared" ca="1" si="2"/>
        <v/>
      </c>
      <c r="L87" s="45"/>
      <c r="M87" s="45"/>
      <c r="N87" s="43" t="str">
        <f>IF(ISBLANK(L87), "", L87*VLOOKUP($F87,Internal!$B$26:$C$32,2,FALSE))</f>
        <v/>
      </c>
      <c r="O87" s="43" t="str">
        <f>IF(ISBLANK(M87), "", M87*VLOOKUP($F87,Internal!$B$26:$C$32,2,FALSE))</f>
        <v/>
      </c>
      <c r="P87" s="42"/>
    </row>
    <row r="88" spans="2:16" ht="9.4" customHeight="1" x14ac:dyDescent="0.35">
      <c r="B88" s="39">
        <v>78</v>
      </c>
      <c r="C88" s="40" t="str">
        <f>IF(ISBLANK(D88), "", _xlfn.CONCAT("T", TEXT(B88, "0000"), "/", VLOOKUP(D88, Internal!$B$35:C$39, 2, FALSE), IF(OR(D88="QA", D88="Revision"), _xlfn.CONCAT("/", H88), "")))</f>
        <v/>
      </c>
      <c r="D88" s="42"/>
      <c r="E88" s="41"/>
      <c r="F88" s="41"/>
      <c r="G88" s="42"/>
      <c r="H88" s="41"/>
      <c r="I88" s="44"/>
      <c r="J88" s="44"/>
      <c r="K88" s="43" t="str">
        <f t="shared" ca="1" si="2"/>
        <v/>
      </c>
      <c r="L88" s="45"/>
      <c r="M88" s="45"/>
      <c r="N88" s="43" t="str">
        <f>IF(ISBLANK(L88), "", L88*VLOOKUP($F88,Internal!$B$26:$C$32,2,FALSE))</f>
        <v/>
      </c>
      <c r="O88" s="43" t="str">
        <f>IF(ISBLANK(M88), "", M88*VLOOKUP($F88,Internal!$B$26:$C$32,2,FALSE))</f>
        <v/>
      </c>
      <c r="P88" s="42"/>
    </row>
    <row r="89" spans="2:16" ht="9.4" customHeight="1" x14ac:dyDescent="0.35">
      <c r="B89" s="39">
        <v>79</v>
      </c>
      <c r="C89" s="40" t="str">
        <f>IF(ISBLANK(D89), "", _xlfn.CONCAT("T", TEXT(B89, "0000"), "/", VLOOKUP(D89, Internal!$B$35:C$39, 2, FALSE), IF(OR(D89="QA", D89="Revision"), _xlfn.CONCAT("/", H89), "")))</f>
        <v/>
      </c>
      <c r="D89" s="42"/>
      <c r="E89" s="41"/>
      <c r="F89" s="41"/>
      <c r="G89" s="42"/>
      <c r="H89" s="41"/>
      <c r="I89" s="44"/>
      <c r="J89" s="44"/>
      <c r="K89" s="43" t="str">
        <f t="shared" ca="1" si="2"/>
        <v/>
      </c>
      <c r="L89" s="45"/>
      <c r="M89" s="45"/>
      <c r="N89" s="43" t="str">
        <f>IF(ISBLANK(L89), "", L89*VLOOKUP($F89,Internal!$B$26:$C$32,2,FALSE))</f>
        <v/>
      </c>
      <c r="O89" s="43" t="str">
        <f>IF(ISBLANK(M89), "", M89*VLOOKUP($F89,Internal!$B$26:$C$32,2,FALSE))</f>
        <v/>
      </c>
      <c r="P89" s="42"/>
    </row>
    <row r="90" spans="2:16" ht="9.4" customHeight="1" x14ac:dyDescent="0.35">
      <c r="B90" s="39">
        <v>80</v>
      </c>
      <c r="C90" s="40" t="str">
        <f>IF(ISBLANK(D90), "", _xlfn.CONCAT("T", TEXT(B90, "0000"), "/", VLOOKUP(D90, Internal!$B$35:C$39, 2, FALSE), IF(OR(D90="QA", D90="Revision"), _xlfn.CONCAT("/", H90), "")))</f>
        <v/>
      </c>
      <c r="D90" s="42"/>
      <c r="E90" s="41"/>
      <c r="F90" s="41"/>
      <c r="G90" s="42"/>
      <c r="H90" s="41"/>
      <c r="I90" s="44"/>
      <c r="J90" s="44"/>
      <c r="K90" s="43" t="str">
        <f t="shared" ca="1" si="2"/>
        <v/>
      </c>
      <c r="L90" s="45"/>
      <c r="M90" s="45"/>
      <c r="N90" s="43" t="str">
        <f>IF(ISBLANK(L90), "", L90*VLOOKUP($F90,Internal!$B$26:$C$32,2,FALSE))</f>
        <v/>
      </c>
      <c r="O90" s="43" t="str">
        <f>IF(ISBLANK(M90), "", M90*VLOOKUP($F90,Internal!$B$26:$C$32,2,FALSE))</f>
        <v/>
      </c>
      <c r="P90" s="42"/>
    </row>
    <row r="91" spans="2:16" ht="9.4" customHeight="1" x14ac:dyDescent="0.35">
      <c r="B91" s="39">
        <v>81</v>
      </c>
      <c r="C91" s="40" t="str">
        <f>IF(ISBLANK(D91), "", _xlfn.CONCAT("T", TEXT(B91, "0000"), "/", VLOOKUP(D91, Internal!$B$35:C$39, 2, FALSE), IF(OR(D91="QA", D91="Revision"), _xlfn.CONCAT("/", H91), "")))</f>
        <v/>
      </c>
      <c r="D91" s="42"/>
      <c r="E91" s="41"/>
      <c r="F91" s="41"/>
      <c r="G91" s="42"/>
      <c r="H91" s="41"/>
      <c r="I91" s="44"/>
      <c r="J91" s="44"/>
      <c r="K91" s="43" t="str">
        <f t="shared" ca="1" si="2"/>
        <v/>
      </c>
      <c r="L91" s="45"/>
      <c r="M91" s="45"/>
      <c r="N91" s="43" t="str">
        <f>IF(ISBLANK(L91), "", L91*VLOOKUP($F91,Internal!$B$26:$C$32,2,FALSE))</f>
        <v/>
      </c>
      <c r="O91" s="43" t="str">
        <f>IF(ISBLANK(M91), "", M91*VLOOKUP($F91,Internal!$B$26:$C$32,2,FALSE))</f>
        <v/>
      </c>
      <c r="P91" s="42"/>
    </row>
    <row r="92" spans="2:16" ht="9.4" customHeight="1" x14ac:dyDescent="0.35">
      <c r="B92" s="39">
        <v>82</v>
      </c>
      <c r="C92" s="40" t="str">
        <f>IF(ISBLANK(D92), "", _xlfn.CONCAT("T", TEXT(B92, "0000"), "/", VLOOKUP(D92, Internal!$B$35:C$39, 2, FALSE), IF(OR(D92="QA", D92="Revision"), _xlfn.CONCAT("/", H92), "")))</f>
        <v/>
      </c>
      <c r="D92" s="42"/>
      <c r="E92" s="41"/>
      <c r="F92" s="41"/>
      <c r="G92" s="42"/>
      <c r="H92" s="41"/>
      <c r="I92" s="44"/>
      <c r="J92" s="44"/>
      <c r="K92" s="43" t="str">
        <f t="shared" ca="1" si="2"/>
        <v/>
      </c>
      <c r="L92" s="45"/>
      <c r="M92" s="45"/>
      <c r="N92" s="43" t="str">
        <f>IF(ISBLANK(L92), "", L92*VLOOKUP($F92,Internal!$B$26:$C$32,2,FALSE))</f>
        <v/>
      </c>
      <c r="O92" s="43" t="str">
        <f>IF(ISBLANK(M92), "", M92*VLOOKUP($F92,Internal!$B$26:$C$32,2,FALSE))</f>
        <v/>
      </c>
      <c r="P92" s="42"/>
    </row>
    <row r="93" spans="2:16" ht="9.4" customHeight="1" x14ac:dyDescent="0.35">
      <c r="B93" s="39">
        <v>83</v>
      </c>
      <c r="C93" s="40" t="str">
        <f>IF(ISBLANK(D93), "", _xlfn.CONCAT("T", TEXT(B93, "0000"), "/", VLOOKUP(D93, Internal!$B$35:C$39, 2, FALSE), IF(OR(D93="QA", D93="Revision"), _xlfn.CONCAT("/", H93), "")))</f>
        <v/>
      </c>
      <c r="D93" s="42"/>
      <c r="E93" s="41"/>
      <c r="F93" s="41"/>
      <c r="G93" s="42"/>
      <c r="H93" s="41"/>
      <c r="I93" s="44"/>
      <c r="J93" s="44"/>
      <c r="K93" s="43" t="str">
        <f t="shared" ca="1" si="2"/>
        <v/>
      </c>
      <c r="L93" s="45"/>
      <c r="M93" s="45"/>
      <c r="N93" s="43" t="str">
        <f>IF(ISBLANK(L93), "", L93*VLOOKUP($F93,Internal!$B$26:$C$32,2,FALSE))</f>
        <v/>
      </c>
      <c r="O93" s="43" t="str">
        <f>IF(ISBLANK(M93), "", M93*VLOOKUP($F93,Internal!$B$26:$C$32,2,FALSE))</f>
        <v/>
      </c>
      <c r="P93" s="42"/>
    </row>
    <row r="94" spans="2:16" ht="9.4" customHeight="1" x14ac:dyDescent="0.35">
      <c r="B94" s="39">
        <v>84</v>
      </c>
      <c r="C94" s="40" t="str">
        <f>IF(ISBLANK(D94), "", _xlfn.CONCAT("T", TEXT(B94, "0000"), "/", VLOOKUP(D94, Internal!$B$35:C$39, 2, FALSE), IF(OR(D94="QA", D94="Revision"), _xlfn.CONCAT("/", H94), "")))</f>
        <v/>
      </c>
      <c r="D94" s="42"/>
      <c r="E94" s="41"/>
      <c r="F94" s="41"/>
      <c r="G94" s="42"/>
      <c r="H94" s="41"/>
      <c r="I94" s="44"/>
      <c r="J94" s="44"/>
      <c r="K94" s="43" t="str">
        <f t="shared" ca="1" si="2"/>
        <v/>
      </c>
      <c r="L94" s="45"/>
      <c r="M94" s="45"/>
      <c r="N94" s="43" t="str">
        <f>IF(ISBLANK(L94), "", L94*VLOOKUP($F94,Internal!$B$26:$C$32,2,FALSE))</f>
        <v/>
      </c>
      <c r="O94" s="43" t="str">
        <f>IF(ISBLANK(M94), "", M94*VLOOKUP($F94,Internal!$B$26:$C$32,2,FALSE))</f>
        <v/>
      </c>
      <c r="P94" s="42"/>
    </row>
    <row r="95" spans="2:16" ht="9.4" customHeight="1" x14ac:dyDescent="0.35">
      <c r="B95" s="39">
        <v>85</v>
      </c>
      <c r="C95" s="40" t="str">
        <f>IF(ISBLANK(D95), "", _xlfn.CONCAT("T", TEXT(B95, "0000"), "/", VLOOKUP(D95, Internal!$B$35:C$39, 2, FALSE), IF(OR(D95="QA", D95="Revision"), _xlfn.CONCAT("/", H95), "")))</f>
        <v/>
      </c>
      <c r="D95" s="42"/>
      <c r="E95" s="41"/>
      <c r="F95" s="41"/>
      <c r="G95" s="42"/>
      <c r="H95" s="41"/>
      <c r="I95" s="44"/>
      <c r="J95" s="44"/>
      <c r="K95" s="43" t="str">
        <f t="shared" ca="1" si="2"/>
        <v/>
      </c>
      <c r="L95" s="45"/>
      <c r="M95" s="45"/>
      <c r="N95" s="43" t="str">
        <f>IF(ISBLANK(L95), "", L95*VLOOKUP($F95,Internal!$B$26:$C$32,2,FALSE))</f>
        <v/>
      </c>
      <c r="O95" s="43" t="str">
        <f>IF(ISBLANK(M95), "", M95*VLOOKUP($F95,Internal!$B$26:$C$32,2,FALSE))</f>
        <v/>
      </c>
      <c r="P95" s="42"/>
    </row>
    <row r="96" spans="2:16" ht="9.4" customHeight="1" x14ac:dyDescent="0.35">
      <c r="B96" s="39">
        <v>86</v>
      </c>
      <c r="C96" s="40" t="str">
        <f>IF(ISBLANK(D96), "", _xlfn.CONCAT("T", TEXT(B96, "0000"), "/", VLOOKUP(D96, Internal!$B$35:C$39, 2, FALSE), IF(OR(D96="QA", D96="Revision"), _xlfn.CONCAT("/", H96), "")))</f>
        <v/>
      </c>
      <c r="D96" s="42"/>
      <c r="E96" s="41"/>
      <c r="F96" s="41"/>
      <c r="G96" s="42"/>
      <c r="H96" s="41"/>
      <c r="I96" s="44"/>
      <c r="J96" s="44"/>
      <c r="K96" s="43" t="str">
        <f t="shared" ca="1" si="2"/>
        <v/>
      </c>
      <c r="L96" s="45"/>
      <c r="M96" s="45"/>
      <c r="N96" s="43" t="str">
        <f>IF(ISBLANK(L96), "", L96*VLOOKUP($F96,Internal!$B$26:$C$32,2,FALSE))</f>
        <v/>
      </c>
      <c r="O96" s="43" t="str">
        <f>IF(ISBLANK(M96), "", M96*VLOOKUP($F96,Internal!$B$26:$C$32,2,FALSE))</f>
        <v/>
      </c>
      <c r="P96" s="42"/>
    </row>
    <row r="97" spans="2:16" ht="9.4" customHeight="1" x14ac:dyDescent="0.35">
      <c r="B97" s="39">
        <v>87</v>
      </c>
      <c r="C97" s="40" t="str">
        <f>IF(ISBLANK(D97), "", _xlfn.CONCAT("T", TEXT(B97, "0000"), "/", VLOOKUP(D97, Internal!$B$35:C$39, 2, FALSE), IF(OR(D97="QA", D97="Revision"), _xlfn.CONCAT("/", H97), "")))</f>
        <v/>
      </c>
      <c r="D97" s="42"/>
      <c r="E97" s="41"/>
      <c r="F97" s="41"/>
      <c r="G97" s="42"/>
      <c r="H97" s="41"/>
      <c r="I97" s="44"/>
      <c r="J97" s="44"/>
      <c r="K97" s="43" t="str">
        <f t="shared" ca="1" si="2"/>
        <v/>
      </c>
      <c r="L97" s="45"/>
      <c r="M97" s="45"/>
      <c r="N97" s="43" t="str">
        <f>IF(ISBLANK(L97), "", L97*VLOOKUP($F97,Internal!$B$26:$C$32,2,FALSE))</f>
        <v/>
      </c>
      <c r="O97" s="43" t="str">
        <f>IF(ISBLANK(M97), "", M97*VLOOKUP($F97,Internal!$B$26:$C$32,2,FALSE))</f>
        <v/>
      </c>
      <c r="P97" s="42"/>
    </row>
    <row r="98" spans="2:16" ht="9.4" customHeight="1" x14ac:dyDescent="0.35">
      <c r="B98" s="39">
        <v>88</v>
      </c>
      <c r="C98" s="40" t="str">
        <f>IF(ISBLANK(D98), "", _xlfn.CONCAT("T", TEXT(B98, "0000"), "/", VLOOKUP(D98, Internal!$B$35:C$39, 2, FALSE), IF(OR(D98="QA", D98="Revision"), _xlfn.CONCAT("/", H98), "")))</f>
        <v/>
      </c>
      <c r="D98" s="42"/>
      <c r="E98" s="41"/>
      <c r="F98" s="41"/>
      <c r="G98" s="42"/>
      <c r="H98" s="41"/>
      <c r="I98" s="44"/>
      <c r="J98" s="44"/>
      <c r="K98" s="43" t="str">
        <f t="shared" ca="1" si="2"/>
        <v/>
      </c>
      <c r="L98" s="45"/>
      <c r="M98" s="45"/>
      <c r="N98" s="43" t="str">
        <f>IF(ISBLANK(L98), "", L98*VLOOKUP($F98,Internal!$B$26:$C$32,2,FALSE))</f>
        <v/>
      </c>
      <c r="O98" s="43" t="str">
        <f>IF(ISBLANK(M98), "", M98*VLOOKUP($F98,Internal!$B$26:$C$32,2,FALSE))</f>
        <v/>
      </c>
      <c r="P98" s="42"/>
    </row>
    <row r="99" spans="2:16" ht="9.4" customHeight="1" x14ac:dyDescent="0.35">
      <c r="B99" s="39">
        <v>89</v>
      </c>
      <c r="C99" s="40" t="str">
        <f>IF(ISBLANK(D99), "", _xlfn.CONCAT("T", TEXT(B99, "0000"), "/", VLOOKUP(D99, Internal!$B$35:C$39, 2, FALSE), IF(OR(D99="QA", D99="Revision"), _xlfn.CONCAT("/", H99), "")))</f>
        <v/>
      </c>
      <c r="D99" s="42"/>
      <c r="E99" s="41"/>
      <c r="F99" s="41"/>
      <c r="G99" s="42"/>
      <c r="H99" s="41"/>
      <c r="I99" s="44"/>
      <c r="J99" s="44"/>
      <c r="K99" s="43" t="str">
        <f t="shared" ca="1" si="2"/>
        <v/>
      </c>
      <c r="L99" s="45"/>
      <c r="M99" s="45"/>
      <c r="N99" s="43" t="str">
        <f>IF(ISBLANK(L99), "", L99*VLOOKUP($F99,Internal!$B$26:$C$32,2,FALSE))</f>
        <v/>
      </c>
      <c r="O99" s="43" t="str">
        <f>IF(ISBLANK(M99), "", M99*VLOOKUP($F99,Internal!$B$26:$C$32,2,FALSE))</f>
        <v/>
      </c>
      <c r="P99" s="42"/>
    </row>
    <row r="100" spans="2:16" ht="9.4" customHeight="1" x14ac:dyDescent="0.35">
      <c r="B100" s="39">
        <v>90</v>
      </c>
      <c r="C100" s="40" t="str">
        <f>IF(ISBLANK(D100), "", _xlfn.CONCAT("T", TEXT(B100, "0000"), "/", VLOOKUP(D100, Internal!$B$35:C$39, 2, FALSE), IF(OR(D100="QA", D100="Revision"), _xlfn.CONCAT("/", H100), "")))</f>
        <v/>
      </c>
      <c r="D100" s="42"/>
      <c r="E100" s="41"/>
      <c r="F100" s="41"/>
      <c r="G100" s="42"/>
      <c r="H100" s="41"/>
      <c r="I100" s="44"/>
      <c r="J100" s="44"/>
      <c r="K100" s="43" t="str">
        <f t="shared" ca="1" si="2"/>
        <v/>
      </c>
      <c r="L100" s="45"/>
      <c r="M100" s="45"/>
      <c r="N100" s="43" t="str">
        <f>IF(ISBLANK(L100), "", L100*VLOOKUP($F100,Internal!$B$26:$C$32,2,FALSE))</f>
        <v/>
      </c>
      <c r="O100" s="43" t="str">
        <f>IF(ISBLANK(M100), "", M100*VLOOKUP($F100,Internal!$B$26:$C$32,2,FALSE))</f>
        <v/>
      </c>
      <c r="P100" s="42"/>
    </row>
    <row r="101" spans="2:16" ht="9.4" customHeight="1" x14ac:dyDescent="0.35">
      <c r="B101" s="39">
        <v>91</v>
      </c>
      <c r="C101" s="40" t="str">
        <f>IF(ISBLANK(D101), "", _xlfn.CONCAT("T", TEXT(B101, "0000"), "/", VLOOKUP(D101, Internal!$B$35:C$39, 2, FALSE), IF(OR(D101="QA", D101="Revision"), _xlfn.CONCAT("/", H101), "")))</f>
        <v/>
      </c>
      <c r="D101" s="42"/>
      <c r="E101" s="41"/>
      <c r="F101" s="41"/>
      <c r="G101" s="42"/>
      <c r="H101" s="41"/>
      <c r="I101" s="44"/>
      <c r="J101" s="44"/>
      <c r="K101" s="43" t="str">
        <f t="shared" ca="1" si="2"/>
        <v/>
      </c>
      <c r="L101" s="45"/>
      <c r="M101" s="45"/>
      <c r="N101" s="43" t="str">
        <f>IF(ISBLANK(L101), "", L101*VLOOKUP($F101,Internal!$B$26:$C$32,2,FALSE))</f>
        <v/>
      </c>
      <c r="O101" s="43" t="str">
        <f>IF(ISBLANK(M101), "", M101*VLOOKUP($F101,Internal!$B$26:$C$32,2,FALSE))</f>
        <v/>
      </c>
      <c r="P101" s="42"/>
    </row>
    <row r="102" spans="2:16" ht="9.4" customHeight="1" x14ac:dyDescent="0.35">
      <c r="B102" s="39">
        <v>92</v>
      </c>
      <c r="C102" s="40" t="str">
        <f>IF(ISBLANK(D102), "", _xlfn.CONCAT("T", TEXT(B102, "0000"), "/", VLOOKUP(D102, Internal!$B$35:C$39, 2, FALSE), IF(OR(D102="QA", D102="Revision"), _xlfn.CONCAT("/", H102), "")))</f>
        <v/>
      </c>
      <c r="D102" s="42"/>
      <c r="E102" s="41"/>
      <c r="F102" s="41"/>
      <c r="G102" s="42"/>
      <c r="H102" s="41"/>
      <c r="I102" s="44"/>
      <c r="J102" s="44"/>
      <c r="K102" s="43" t="str">
        <f t="shared" ca="1" si="2"/>
        <v/>
      </c>
      <c r="L102" s="45"/>
      <c r="M102" s="45"/>
      <c r="N102" s="43" t="str">
        <f>IF(ISBLANK(L102), "", L102*VLOOKUP($F102,Internal!$B$26:$C$32,2,FALSE))</f>
        <v/>
      </c>
      <c r="O102" s="43" t="str">
        <f>IF(ISBLANK(M102), "", M102*VLOOKUP($F102,Internal!$B$26:$C$32,2,FALSE))</f>
        <v/>
      </c>
      <c r="P102" s="42"/>
    </row>
    <row r="103" spans="2:16" ht="9.4" customHeight="1" x14ac:dyDescent="0.35">
      <c r="B103" s="39">
        <v>93</v>
      </c>
      <c r="C103" s="40" t="str">
        <f>IF(ISBLANK(D103), "", _xlfn.CONCAT("T", TEXT(B103, "0000"), "/", VLOOKUP(D103, Internal!$B$35:C$39, 2, FALSE), IF(OR(D103="QA", D103="Revision"), _xlfn.CONCAT("/", H103), "")))</f>
        <v/>
      </c>
      <c r="D103" s="42"/>
      <c r="E103" s="41"/>
      <c r="F103" s="41"/>
      <c r="G103" s="42"/>
      <c r="H103" s="41"/>
      <c r="I103" s="44"/>
      <c r="J103" s="44"/>
      <c r="K103" s="43" t="str">
        <f t="shared" ca="1" si="2"/>
        <v/>
      </c>
      <c r="L103" s="45"/>
      <c r="M103" s="45"/>
      <c r="N103" s="43" t="str">
        <f>IF(ISBLANK(L103), "", L103*VLOOKUP($F103,Internal!$B$26:$C$32,2,FALSE))</f>
        <v/>
      </c>
      <c r="O103" s="43" t="str">
        <f>IF(ISBLANK(M103), "", M103*VLOOKUP($F103,Internal!$B$26:$C$32,2,FALSE))</f>
        <v/>
      </c>
      <c r="P103" s="42"/>
    </row>
    <row r="104" spans="2:16" ht="9.4" customHeight="1" x14ac:dyDescent="0.35">
      <c r="B104" s="39">
        <v>94</v>
      </c>
      <c r="C104" s="40" t="str">
        <f>IF(ISBLANK(D104), "", _xlfn.CONCAT("T", TEXT(B104, "0000"), "/", VLOOKUP(D104, Internal!$B$35:C$39, 2, FALSE), IF(OR(D104="QA", D104="Revision"), _xlfn.CONCAT("/", H104), "")))</f>
        <v/>
      </c>
      <c r="D104" s="42"/>
      <c r="E104" s="41"/>
      <c r="F104" s="41"/>
      <c r="G104" s="42"/>
      <c r="H104" s="41"/>
      <c r="I104" s="44"/>
      <c r="J104" s="44"/>
      <c r="K104" s="43" t="str">
        <f t="shared" ca="1" si="2"/>
        <v/>
      </c>
      <c r="L104" s="45"/>
      <c r="M104" s="45"/>
      <c r="N104" s="43" t="str">
        <f>IF(ISBLANK(L104), "", L104*VLOOKUP($F104,Internal!$B$26:$C$32,2,FALSE))</f>
        <v/>
      </c>
      <c r="O104" s="43" t="str">
        <f>IF(ISBLANK(M104), "", M104*VLOOKUP($F104,Internal!$B$26:$C$32,2,FALSE))</f>
        <v/>
      </c>
      <c r="P104" s="42"/>
    </row>
    <row r="105" spans="2:16" ht="9.4" customHeight="1" x14ac:dyDescent="0.35">
      <c r="B105" s="39">
        <v>95</v>
      </c>
      <c r="C105" s="40" t="str">
        <f>IF(ISBLANK(D105), "", _xlfn.CONCAT("T", TEXT(B105, "0000"), "/", VLOOKUP(D105, Internal!$B$35:C$39, 2, FALSE), IF(OR(D105="QA", D105="Revision"), _xlfn.CONCAT("/", H105), "")))</f>
        <v/>
      </c>
      <c r="D105" s="42"/>
      <c r="E105" s="41"/>
      <c r="F105" s="41"/>
      <c r="G105" s="42"/>
      <c r="H105" s="41"/>
      <c r="I105" s="44"/>
      <c r="J105" s="44"/>
      <c r="K105" s="43" t="str">
        <f t="shared" ca="1" si="2"/>
        <v/>
      </c>
      <c r="L105" s="45"/>
      <c r="M105" s="45"/>
      <c r="N105" s="43" t="str">
        <f>IF(ISBLANK(L105), "", L105*VLOOKUP($F105,Internal!$B$26:$C$32,2,FALSE))</f>
        <v/>
      </c>
      <c r="O105" s="43" t="str">
        <f>IF(ISBLANK(M105), "", M105*VLOOKUP($F105,Internal!$B$26:$C$32,2,FALSE))</f>
        <v/>
      </c>
      <c r="P105" s="42"/>
    </row>
    <row r="106" spans="2:16" ht="9.4" customHeight="1" x14ac:dyDescent="0.35">
      <c r="B106" s="39">
        <v>96</v>
      </c>
      <c r="C106" s="40" t="str">
        <f>IF(ISBLANK(D106), "", _xlfn.CONCAT("T", TEXT(B106, "0000"), "/", VLOOKUP(D106, Internal!$B$35:C$39, 2, FALSE), IF(OR(D106="QA", D106="Revision"), _xlfn.CONCAT("/", H106), "")))</f>
        <v/>
      </c>
      <c r="D106" s="42"/>
      <c r="E106" s="41"/>
      <c r="F106" s="41"/>
      <c r="G106" s="42"/>
      <c r="H106" s="41"/>
      <c r="I106" s="44"/>
      <c r="J106" s="44"/>
      <c r="K106" s="43" t="str">
        <f t="shared" ca="1" si="2"/>
        <v/>
      </c>
      <c r="L106" s="45"/>
      <c r="M106" s="45"/>
      <c r="N106" s="43" t="str">
        <f>IF(ISBLANK(L106), "", L106*VLOOKUP($F106,Internal!$B$26:$C$32,2,FALSE))</f>
        <v/>
      </c>
      <c r="O106" s="43" t="str">
        <f>IF(ISBLANK(M106), "", M106*VLOOKUP($F106,Internal!$B$26:$C$32,2,FALSE))</f>
        <v/>
      </c>
      <c r="P106" s="42"/>
    </row>
    <row r="107" spans="2:16" ht="9.4" customHeight="1" x14ac:dyDescent="0.35">
      <c r="B107" s="39">
        <v>97</v>
      </c>
      <c r="C107" s="40" t="str">
        <f>IF(ISBLANK(D107), "", _xlfn.CONCAT("T", TEXT(B107, "0000"), "/", VLOOKUP(D107, Internal!$B$35:C$39, 2, FALSE), IF(OR(D107="QA", D107="Revision"), _xlfn.CONCAT("/", H107), "")))</f>
        <v/>
      </c>
      <c r="D107" s="42"/>
      <c r="E107" s="41"/>
      <c r="F107" s="41"/>
      <c r="G107" s="42"/>
      <c r="H107" s="41"/>
      <c r="I107" s="44"/>
      <c r="J107" s="44"/>
      <c r="K107" s="43" t="str">
        <f t="shared" ca="1" si="2"/>
        <v/>
      </c>
      <c r="L107" s="45"/>
      <c r="M107" s="45"/>
      <c r="N107" s="43" t="str">
        <f>IF(ISBLANK(L107), "", L107*VLOOKUP($F107,Internal!$B$26:$C$32,2,FALSE))</f>
        <v/>
      </c>
      <c r="O107" s="43" t="str">
        <f>IF(ISBLANK(M107), "", M107*VLOOKUP($F107,Internal!$B$26:$C$32,2,FALSE))</f>
        <v/>
      </c>
      <c r="P107" s="42"/>
    </row>
    <row r="108" spans="2:16" ht="9.4" customHeight="1" x14ac:dyDescent="0.35">
      <c r="B108" s="39">
        <v>98</v>
      </c>
      <c r="C108" s="40" t="str">
        <f>IF(ISBLANK(D108), "", _xlfn.CONCAT("T", TEXT(B108, "0000"), "/", VLOOKUP(D108, Internal!$B$35:C$39, 2, FALSE), IF(OR(D108="QA", D108="Revision"), _xlfn.CONCAT("/", H108), "")))</f>
        <v/>
      </c>
      <c r="D108" s="42"/>
      <c r="E108" s="41"/>
      <c r="F108" s="41"/>
      <c r="G108" s="42"/>
      <c r="H108" s="41"/>
      <c r="I108" s="44"/>
      <c r="J108" s="44"/>
      <c r="K108" s="43" t="str">
        <f t="shared" ca="1" si="2"/>
        <v/>
      </c>
      <c r="L108" s="45"/>
      <c r="M108" s="45"/>
      <c r="N108" s="43" t="str">
        <f>IF(ISBLANK(L108), "", L108*VLOOKUP($F108,Internal!$B$26:$C$32,2,FALSE))</f>
        <v/>
      </c>
      <c r="O108" s="43" t="str">
        <f>IF(ISBLANK(M108), "", M108*VLOOKUP($F108,Internal!$B$26:$C$32,2,FALSE))</f>
        <v/>
      </c>
      <c r="P108" s="42"/>
    </row>
    <row r="109" spans="2:16" ht="9.4" customHeight="1" x14ac:dyDescent="0.35">
      <c r="B109" s="39">
        <v>99</v>
      </c>
      <c r="C109" s="40" t="str">
        <f>IF(ISBLANK(D109), "", _xlfn.CONCAT("T", TEXT(B109, "0000"), "/", VLOOKUP(D109, Internal!$B$35:C$39, 2, FALSE), IF(OR(D109="QA", D109="Revision"), _xlfn.CONCAT("/", H109), "")))</f>
        <v/>
      </c>
      <c r="D109" s="42"/>
      <c r="E109" s="41"/>
      <c r="F109" s="41"/>
      <c r="G109" s="42"/>
      <c r="H109" s="41"/>
      <c r="I109" s="44"/>
      <c r="J109" s="44"/>
      <c r="K109" s="43" t="str">
        <f t="shared" ca="1" si="2"/>
        <v/>
      </c>
      <c r="L109" s="45"/>
      <c r="M109" s="45"/>
      <c r="N109" s="43" t="str">
        <f>IF(ISBLANK(L109), "", L109*VLOOKUP($F109,Internal!$B$26:$C$32,2,FALSE))</f>
        <v/>
      </c>
      <c r="O109" s="43" t="str">
        <f>IF(ISBLANK(M109), "", M109*VLOOKUP($F109,Internal!$B$26:$C$32,2,FALSE))</f>
        <v/>
      </c>
      <c r="P109" s="42"/>
    </row>
    <row r="110" spans="2:16" ht="9.4" customHeight="1" x14ac:dyDescent="0.35">
      <c r="B110" s="39">
        <v>100</v>
      </c>
      <c r="C110" s="40" t="str">
        <f>IF(ISBLANK(D110), "", _xlfn.CONCAT("T", TEXT(B110, "0000"), "/", VLOOKUP(D110, Internal!$B$35:C$39, 2, FALSE), IF(OR(D110="QA", D110="Revision"), _xlfn.CONCAT("/", H110), "")))</f>
        <v/>
      </c>
      <c r="D110" s="42"/>
      <c r="E110" s="41"/>
      <c r="F110" s="41"/>
      <c r="G110" s="42"/>
      <c r="H110" s="41"/>
      <c r="I110" s="44"/>
      <c r="J110" s="44"/>
      <c r="K110" s="43" t="str">
        <f t="shared" ca="1" si="2"/>
        <v/>
      </c>
      <c r="L110" s="45"/>
      <c r="M110" s="45"/>
      <c r="N110" s="43" t="str">
        <f>IF(ISBLANK(L110), "", L110*VLOOKUP($F110,Internal!$B$26:$C$32,2,FALSE))</f>
        <v/>
      </c>
      <c r="O110" s="43" t="str">
        <f>IF(ISBLANK(M110), "", M110*VLOOKUP($F110,Internal!$B$26:$C$32,2,FALSE))</f>
        <v/>
      </c>
      <c r="P110" s="42"/>
    </row>
  </sheetData>
  <mergeCells count="6">
    <mergeCell ref="N9:O9"/>
    <mergeCell ref="C4:P4"/>
    <mergeCell ref="C2:P2"/>
    <mergeCell ref="C6:C7"/>
    <mergeCell ref="I9:J9"/>
    <mergeCell ref="L9:M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0000000-0002-0000-0300-000000000000}">
      <formula1>INDIRECT(F11)</formula1>
    </dataValidation>
    <dataValidation allowBlank="1" showInputMessage="1" showErrorMessage="1" promptTitle="ORDER" prompt="Order numbers are internal data.  Do not change them._x000a_" sqref="B11:B110" xr:uid="{00000000-0002-0000-0300-000001000000}"/>
    <dataValidation allowBlank="1" showInputMessage="1" showErrorMessage="1" promptTitle="ID" prompt="The IDs are updated automatically.  Don't modify them manually" sqref="C11:C110" xr:uid="{00000000-0002-0000-0300-000002000000}"/>
    <dataValidation allowBlank="1" showInputMessage="1" showErrorMessage="1" promptTitle="Costs" prompt="The costs are updated automatically.  Don't modify them manually" sqref="N11:O110" xr:uid="{00000000-0002-0000-0300-000003000000}"/>
    <dataValidation allowBlank="1" showInputMessage="1" showErrorMessage="1" promptTitle="Description" prompt="If actually necessary, then write a succint description and/or include a link to a document that provides further information." sqref="K11:K110 P11:P110" xr:uid="{00000000-0002-0000-0300-000004000000}"/>
    <dataValidation allowBlank="1" showInputMessage="1" showErrorMessage="1" promptTitle="Actual workload" prompt="Enter the actual workload in hours or fractions._x000a_" sqref="M11:M110" xr:uid="{00000000-0002-0000-0300-000005000000}"/>
    <dataValidation allowBlank="1" showInputMessage="1" showErrorMessage="1" promptTitle="Description" prompt="Provide a succint description of the task.  If not possible, the provide a link to a document where is is described." sqref="P10" xr:uid="{00000000-0002-0000-0300-000006000000}"/>
    <dataValidation type="decimal" allowBlank="1" showInputMessage="1" showErrorMessage="1" promptTitle="Expected workload" prompt="Enter the expected workload in hours or fractions." sqref="L11:L110" xr:uid="{00000000-0002-0000-0300-000007000000}">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00000000-0002-0000-0300-000008000000}">
      <formula1>$C$11:$C$110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110"/>
  <sheetViews>
    <sheetView workbookViewId="0"/>
  </sheetViews>
  <sheetFormatPr defaultColWidth="8.7265625" defaultRowHeight="14.5" x14ac:dyDescent="0.35"/>
  <cols>
    <col min="3" max="15" width="18.81640625" customWidth="1"/>
    <col min="16" max="16" width="64.54296875" customWidth="1"/>
  </cols>
  <sheetData>
    <row r="2" spans="2:16" ht="9.4" customHeight="1" x14ac:dyDescent="0.35">
      <c r="C2" s="53" t="s">
        <v>184</v>
      </c>
      <c r="D2" s="55"/>
      <c r="E2" s="55"/>
      <c r="F2" s="55"/>
      <c r="G2" s="55"/>
      <c r="H2" s="55"/>
      <c r="I2" s="55"/>
      <c r="J2" s="55"/>
      <c r="K2" s="55"/>
      <c r="L2" s="55"/>
      <c r="M2" s="55"/>
      <c r="N2" s="55"/>
      <c r="O2" s="55"/>
      <c r="P2" s="55"/>
    </row>
    <row r="4" spans="2:16" ht="10" customHeight="1" x14ac:dyDescent="0.35">
      <c r="C4" s="51" t="s">
        <v>10</v>
      </c>
      <c r="D4" s="55"/>
      <c r="E4" s="55"/>
      <c r="F4" s="55"/>
      <c r="G4" s="55"/>
      <c r="H4" s="55"/>
      <c r="I4" s="55"/>
      <c r="J4" s="55"/>
      <c r="K4" s="55"/>
      <c r="L4" s="55"/>
      <c r="M4" s="55"/>
      <c r="N4" s="55"/>
      <c r="O4" s="55"/>
      <c r="P4" s="55"/>
    </row>
    <row r="5" spans="2:16" x14ac:dyDescent="0.35">
      <c r="C5" s="5"/>
      <c r="D5" s="5"/>
      <c r="E5" s="5"/>
      <c r="F5" s="5"/>
      <c r="G5" s="5"/>
      <c r="H5" s="5"/>
      <c r="I5" s="5"/>
      <c r="J5" s="5"/>
      <c r="K5" s="5"/>
      <c r="L5" s="5"/>
      <c r="M5" s="5"/>
      <c r="N5" s="5"/>
      <c r="O5" s="5"/>
      <c r="P5" s="5"/>
    </row>
    <row r="6" spans="2:16" ht="9.4" customHeight="1" x14ac:dyDescent="0.35">
      <c r="C6" s="57" t="s">
        <v>11</v>
      </c>
      <c r="D6" s="10" t="s">
        <v>12</v>
      </c>
      <c r="E6" s="34">
        <f>SUM(N11:N110)</f>
        <v>0</v>
      </c>
      <c r="F6" s="5"/>
      <c r="G6" s="5"/>
      <c r="H6" s="5"/>
      <c r="I6" s="5"/>
      <c r="J6" s="5"/>
      <c r="K6" s="5"/>
      <c r="L6" s="5"/>
      <c r="M6" s="5"/>
      <c r="N6" s="5"/>
      <c r="O6" s="5"/>
      <c r="P6" s="5"/>
    </row>
    <row r="7" spans="2:16" ht="9.4" customHeight="1" x14ac:dyDescent="0.35">
      <c r="C7" s="55"/>
      <c r="D7" s="11" t="s">
        <v>13</v>
      </c>
      <c r="E7" s="35">
        <f>SUM(O11:O110)</f>
        <v>0</v>
      </c>
      <c r="J7" s="36"/>
    </row>
    <row r="9" spans="2:16" ht="9.4" customHeight="1" x14ac:dyDescent="0.35">
      <c r="B9" s="6"/>
      <c r="C9" s="7"/>
      <c r="D9" s="7"/>
      <c r="E9" s="7"/>
      <c r="F9" s="7"/>
      <c r="G9" s="7"/>
      <c r="H9" s="7"/>
      <c r="I9" s="56" t="s">
        <v>14</v>
      </c>
      <c r="J9" s="55"/>
      <c r="K9" s="7"/>
      <c r="L9" s="56" t="s">
        <v>15</v>
      </c>
      <c r="M9" s="55"/>
      <c r="N9" s="56" t="s">
        <v>16</v>
      </c>
      <c r="O9" s="55"/>
      <c r="P9" s="7"/>
    </row>
    <row r="10" spans="2:16" ht="9.65" customHeight="1" x14ac:dyDescent="0.35">
      <c r="B10" s="8" t="s">
        <v>17</v>
      </c>
      <c r="C10" s="8" t="s">
        <v>18</v>
      </c>
      <c r="D10" s="9" t="s">
        <v>19</v>
      </c>
      <c r="E10" s="9" t="s">
        <v>20</v>
      </c>
      <c r="F10" s="9" t="s">
        <v>21</v>
      </c>
      <c r="G10" s="9" t="s">
        <v>22</v>
      </c>
      <c r="H10" s="8" t="s">
        <v>23</v>
      </c>
      <c r="I10" s="37" t="s">
        <v>24</v>
      </c>
      <c r="J10" s="37" t="s">
        <v>25</v>
      </c>
      <c r="K10" s="9" t="s">
        <v>26</v>
      </c>
      <c r="L10" s="37" t="s">
        <v>27</v>
      </c>
      <c r="M10" s="37" t="s">
        <v>28</v>
      </c>
      <c r="N10" s="37" t="s">
        <v>27</v>
      </c>
      <c r="O10" s="37" t="s">
        <v>28</v>
      </c>
      <c r="P10" s="9" t="s">
        <v>29</v>
      </c>
    </row>
    <row r="11" spans="2:16" ht="9.4" customHeight="1" x14ac:dyDescent="0.35">
      <c r="B11" s="39">
        <v>1</v>
      </c>
      <c r="C11" s="40" t="s">
        <v>30</v>
      </c>
      <c r="D11" s="42" t="s">
        <v>31</v>
      </c>
      <c r="E11" s="41" t="s">
        <v>32</v>
      </c>
      <c r="F11" s="41" t="s">
        <v>33</v>
      </c>
      <c r="G11" s="42" t="s">
        <v>34</v>
      </c>
      <c r="H11" s="41"/>
      <c r="I11" s="44">
        <v>46149.354166666657</v>
      </c>
      <c r="J11" s="44">
        <v>46149.444444444453</v>
      </c>
      <c r="K11" s="43" t="s">
        <v>63</v>
      </c>
      <c r="L11" s="45"/>
      <c r="M11" s="45"/>
      <c r="N11" s="43" t="s">
        <v>64</v>
      </c>
      <c r="O11" s="43" t="s">
        <v>64</v>
      </c>
      <c r="P11" s="42" t="s">
        <v>185</v>
      </c>
    </row>
    <row r="12" spans="2:16" ht="9.4" customHeight="1" x14ac:dyDescent="0.35">
      <c r="B12" s="39">
        <v>2</v>
      </c>
      <c r="C12" s="40" t="s">
        <v>37</v>
      </c>
      <c r="D12" s="42" t="s">
        <v>31</v>
      </c>
      <c r="E12" s="41" t="s">
        <v>32</v>
      </c>
      <c r="F12" s="41" t="s">
        <v>33</v>
      </c>
      <c r="G12" s="42" t="s">
        <v>34</v>
      </c>
      <c r="H12" s="41" t="s">
        <v>30</v>
      </c>
      <c r="I12" s="44">
        <v>46153.444444444453</v>
      </c>
      <c r="J12" s="44">
        <v>46153.520833333343</v>
      </c>
      <c r="K12" s="43" t="s">
        <v>63</v>
      </c>
      <c r="L12" s="45"/>
      <c r="M12" s="45"/>
      <c r="N12" s="43" t="s">
        <v>64</v>
      </c>
      <c r="O12" s="43" t="s">
        <v>64</v>
      </c>
      <c r="P12" s="42" t="s">
        <v>186</v>
      </c>
    </row>
    <row r="13" spans="2:16" ht="9.4" customHeight="1" x14ac:dyDescent="0.35">
      <c r="B13" s="39">
        <v>3</v>
      </c>
      <c r="C13" s="40" t="s">
        <v>39</v>
      </c>
      <c r="D13" s="42" t="s">
        <v>31</v>
      </c>
      <c r="E13" s="41" t="s">
        <v>32</v>
      </c>
      <c r="F13" s="41" t="s">
        <v>33</v>
      </c>
      <c r="G13" s="42" t="s">
        <v>34</v>
      </c>
      <c r="H13" s="41" t="s">
        <v>37</v>
      </c>
      <c r="I13" s="44">
        <v>46156.354166666657</v>
      </c>
      <c r="J13" s="44">
        <v>46156.444444444453</v>
      </c>
      <c r="K13" s="43" t="s">
        <v>63</v>
      </c>
      <c r="L13" s="45"/>
      <c r="M13" s="45"/>
      <c r="N13" s="43" t="s">
        <v>64</v>
      </c>
      <c r="O13" s="43" t="s">
        <v>64</v>
      </c>
      <c r="P13" s="42" t="s">
        <v>187</v>
      </c>
    </row>
    <row r="14" spans="2:16" ht="9.4" customHeight="1" x14ac:dyDescent="0.35">
      <c r="B14" s="39">
        <v>4</v>
      </c>
      <c r="C14" s="40" t="s">
        <v>41</v>
      </c>
      <c r="D14" s="42" t="s">
        <v>31</v>
      </c>
      <c r="E14" s="41" t="s">
        <v>32</v>
      </c>
      <c r="F14" s="41" t="s">
        <v>33</v>
      </c>
      <c r="G14" s="42" t="s">
        <v>34</v>
      </c>
      <c r="H14" s="41" t="s">
        <v>39</v>
      </c>
      <c r="I14" s="44">
        <v>46160.444444444453</v>
      </c>
      <c r="J14" s="44">
        <v>46160.520833333343</v>
      </c>
      <c r="K14" s="43" t="s">
        <v>63</v>
      </c>
      <c r="L14" s="45"/>
      <c r="M14" s="45"/>
      <c r="N14" s="43" t="s">
        <v>64</v>
      </c>
      <c r="O14" s="43" t="s">
        <v>64</v>
      </c>
      <c r="P14" s="42" t="s">
        <v>65</v>
      </c>
    </row>
    <row r="15" spans="2:16" ht="9.4" customHeight="1" x14ac:dyDescent="0.35">
      <c r="B15" s="39">
        <v>5</v>
      </c>
      <c r="C15" s="40" t="s">
        <v>43</v>
      </c>
      <c r="D15" s="42" t="s">
        <v>31</v>
      </c>
      <c r="E15" s="41" t="s">
        <v>32</v>
      </c>
      <c r="F15" s="41" t="s">
        <v>33</v>
      </c>
      <c r="G15" s="42" t="s">
        <v>34</v>
      </c>
      <c r="H15" s="41" t="s">
        <v>41</v>
      </c>
      <c r="I15" s="44">
        <v>46163.354166666657</v>
      </c>
      <c r="J15" s="44">
        <v>46163.444444444453</v>
      </c>
      <c r="K15" s="43" t="s">
        <v>63</v>
      </c>
      <c r="L15" s="45"/>
      <c r="M15" s="45"/>
      <c r="N15" s="43" t="s">
        <v>64</v>
      </c>
      <c r="O15" s="43" t="s">
        <v>64</v>
      </c>
      <c r="P15" s="42" t="s">
        <v>65</v>
      </c>
    </row>
    <row r="16" spans="2:16" ht="9.4" customHeight="1" x14ac:dyDescent="0.35">
      <c r="B16" s="39">
        <v>6</v>
      </c>
      <c r="C16" s="40" t="str">
        <f>IF(ISBLANK(D16), "", _xlfn.CONCAT("T", TEXT(B16, "0000"), "/", VLOOKUP(D16, Internal!$B$35:C$39, 2, FALSE), IF(OR(D16="QA", D16="Revision"), _xlfn.CONCAT("/", H16), "")))</f>
        <v/>
      </c>
      <c r="D16" s="42"/>
      <c r="E16" s="41"/>
      <c r="F16" s="41"/>
      <c r="G16" s="42"/>
      <c r="H16" s="41"/>
      <c r="I16" s="44"/>
      <c r="J16" s="44"/>
      <c r="K16" s="43" t="str">
        <f t="shared" ref="K16:K47" ca="1" si="0">IF(OR(I16="",J16=""),"",IF(AND(J16&lt;&gt;"",I16&gt;=NOW()),"Planned",IF(AND(J16&lt;&gt;"",J16&lt;NOW()),"Completed","Ongoing")))</f>
        <v/>
      </c>
      <c r="L16" s="45"/>
      <c r="M16" s="45"/>
      <c r="N16" s="43" t="str">
        <f>IF(ISBLANK(L16), "", L16*VLOOKUP($F16,Internal!$B$26:$C$32,2,FALSE))</f>
        <v/>
      </c>
      <c r="O16" s="43" t="str">
        <f>IF(ISBLANK(M16), "", M16*VLOOKUP($F16,Internal!$B$26:$C$32,2,FALSE))</f>
        <v/>
      </c>
      <c r="P16" s="42"/>
    </row>
    <row r="17" spans="2:16" ht="9.4" customHeight="1" x14ac:dyDescent="0.35">
      <c r="B17" s="39">
        <v>7</v>
      </c>
      <c r="C17" s="40" t="str">
        <f>IF(ISBLANK(D17), "", _xlfn.CONCAT("T", TEXT(B17, "0000"), "/", VLOOKUP(D17, Internal!$B$35:C$39, 2, FALSE), IF(OR(D17="QA", D17="Revision"), _xlfn.CONCAT("/", H17), "")))</f>
        <v/>
      </c>
      <c r="D17" s="42"/>
      <c r="E17" s="41"/>
      <c r="F17" s="41"/>
      <c r="G17" s="42"/>
      <c r="H17" s="41"/>
      <c r="I17" s="44"/>
      <c r="J17" s="44"/>
      <c r="K17" s="43" t="str">
        <f t="shared" ca="1" si="0"/>
        <v/>
      </c>
      <c r="L17" s="45"/>
      <c r="M17" s="45"/>
      <c r="N17" s="43" t="str">
        <f>IF(ISBLANK(L17), "", L17*VLOOKUP($F17,Internal!$B$26:$C$32,2,FALSE))</f>
        <v/>
      </c>
      <c r="O17" s="43" t="str">
        <f>IF(ISBLANK(M17), "", M17*VLOOKUP($F17,Internal!$B$26:$C$32,2,FALSE))</f>
        <v/>
      </c>
      <c r="P17" s="42"/>
    </row>
    <row r="18" spans="2:16" ht="9.4" customHeight="1" x14ac:dyDescent="0.35">
      <c r="B18" s="39">
        <v>8</v>
      </c>
      <c r="C18" s="40" t="str">
        <f>IF(ISBLANK(D18), "", _xlfn.CONCAT("T", TEXT(B18, "0000"), "/", VLOOKUP(D18, Internal!$B$35:C$39, 2, FALSE), IF(OR(D18="QA", D18="Revision"), _xlfn.CONCAT("/", H18), "")))</f>
        <v/>
      </c>
      <c r="D18" s="42"/>
      <c r="E18" s="41"/>
      <c r="F18" s="41"/>
      <c r="G18" s="42"/>
      <c r="H18" s="41"/>
      <c r="I18" s="44"/>
      <c r="J18" s="44"/>
      <c r="K18" s="43" t="str">
        <f t="shared" ca="1" si="0"/>
        <v/>
      </c>
      <c r="L18" s="45"/>
      <c r="M18" s="45"/>
      <c r="N18" s="43" t="str">
        <f>IF(ISBLANK(L18), "", L18*VLOOKUP($F18,Internal!$B$26:$C$32,2,FALSE))</f>
        <v/>
      </c>
      <c r="O18" s="43" t="str">
        <f>IF(ISBLANK(M18), "", M18*VLOOKUP($F18,Internal!$B$26:$C$32,2,FALSE))</f>
        <v/>
      </c>
      <c r="P18" s="42"/>
    </row>
    <row r="19" spans="2:16" ht="9.4" customHeight="1" x14ac:dyDescent="0.35">
      <c r="B19" s="39">
        <v>9</v>
      </c>
      <c r="C19" s="40" t="str">
        <f>IF(ISBLANK(D19), "", _xlfn.CONCAT("T", TEXT(B19, "0000"), "/", VLOOKUP(D19, Internal!$B$35:C$39, 2, FALSE), IF(OR(D19="QA", D19="Revision"), _xlfn.CONCAT("/", H19), "")))</f>
        <v/>
      </c>
      <c r="D19" s="42"/>
      <c r="E19" s="41"/>
      <c r="F19" s="41"/>
      <c r="G19" s="42"/>
      <c r="H19" s="41"/>
      <c r="I19" s="44"/>
      <c r="J19" s="44"/>
      <c r="K19" s="43" t="str">
        <f t="shared" ca="1" si="0"/>
        <v/>
      </c>
      <c r="L19" s="45"/>
      <c r="M19" s="45"/>
      <c r="N19" s="43" t="str">
        <f>IF(ISBLANK(L19), "", L19*VLOOKUP($F19,Internal!$B$26:$C$32,2,FALSE))</f>
        <v/>
      </c>
      <c r="O19" s="43" t="str">
        <f>IF(ISBLANK(M19), "", M19*VLOOKUP($F19,Internal!$B$26:$C$32,2,FALSE))</f>
        <v/>
      </c>
      <c r="P19" s="42"/>
    </row>
    <row r="20" spans="2:16" ht="9.4" customHeight="1" x14ac:dyDescent="0.35">
      <c r="B20" s="39">
        <v>10</v>
      </c>
      <c r="C20" s="40" t="str">
        <f>IF(ISBLANK(D20), "", _xlfn.CONCAT("T", TEXT(B20, "0000"), "/", VLOOKUP(D20, Internal!$B$35:C$39, 2, FALSE), IF(OR(D20="QA", D20="Revision"), _xlfn.CONCAT("/", H20), "")))</f>
        <v/>
      </c>
      <c r="D20" s="42"/>
      <c r="E20" s="41"/>
      <c r="F20" s="41"/>
      <c r="G20" s="42"/>
      <c r="H20" s="41"/>
      <c r="I20" s="44"/>
      <c r="J20" s="44"/>
      <c r="K20" s="43" t="str">
        <f t="shared" ca="1" si="0"/>
        <v/>
      </c>
      <c r="L20" s="45"/>
      <c r="M20" s="45"/>
      <c r="N20" s="43" t="str">
        <f>IF(ISBLANK(L20), "", L20*VLOOKUP($F20,Internal!$B$26:$C$32,2,FALSE))</f>
        <v/>
      </c>
      <c r="O20" s="43" t="str">
        <f>IF(ISBLANK(M20), "", M20*VLOOKUP($F20,Internal!$B$26:$C$32,2,FALSE))</f>
        <v/>
      </c>
      <c r="P20" s="42"/>
    </row>
    <row r="21" spans="2:16" ht="9.4" customHeight="1" x14ac:dyDescent="0.35">
      <c r="B21" s="39">
        <v>11</v>
      </c>
      <c r="C21" s="40" t="str">
        <f>IF(ISBLANK(D21), "", _xlfn.CONCAT("T", TEXT(B21, "0000"), "/", VLOOKUP(D21, Internal!$B$35:C$39, 2, FALSE), IF(OR(D21="QA", D21="Revision"), _xlfn.CONCAT("/", H21), "")))</f>
        <v/>
      </c>
      <c r="D21" s="42"/>
      <c r="E21" s="41"/>
      <c r="F21" s="41"/>
      <c r="G21" s="42"/>
      <c r="H21" s="41"/>
      <c r="I21" s="44"/>
      <c r="J21" s="44"/>
      <c r="K21" s="43" t="str">
        <f t="shared" ca="1" si="0"/>
        <v/>
      </c>
      <c r="L21" s="45"/>
      <c r="M21" s="45"/>
      <c r="N21" s="43" t="str">
        <f>IF(ISBLANK(L21), "", L21*VLOOKUP($F21,Internal!$B$26:$C$32,2,FALSE))</f>
        <v/>
      </c>
      <c r="O21" s="43" t="str">
        <f>IF(ISBLANK(M21), "", M21*VLOOKUP($F21,Internal!$B$26:$C$32,2,FALSE))</f>
        <v/>
      </c>
      <c r="P21" s="42"/>
    </row>
    <row r="22" spans="2:16" ht="9.4" customHeight="1" x14ac:dyDescent="0.35">
      <c r="B22" s="39">
        <v>12</v>
      </c>
      <c r="C22" s="40" t="str">
        <f>IF(ISBLANK(D22), "", _xlfn.CONCAT("T", TEXT(B22, "0000"), "/", VLOOKUP(D22, Internal!$B$35:C$39, 2, FALSE), IF(OR(D22="QA", D22="Revision"), _xlfn.CONCAT("/", H22), "")))</f>
        <v/>
      </c>
      <c r="D22" s="42"/>
      <c r="E22" s="41"/>
      <c r="F22" s="41"/>
      <c r="G22" s="42"/>
      <c r="H22" s="41"/>
      <c r="I22" s="44"/>
      <c r="J22" s="44"/>
      <c r="K22" s="43" t="str">
        <f t="shared" ca="1" si="0"/>
        <v/>
      </c>
      <c r="L22" s="45"/>
      <c r="M22" s="45"/>
      <c r="N22" s="43" t="str">
        <f>IF(ISBLANK(L22), "", L22*VLOOKUP($F22,Internal!$B$26:$C$32,2,FALSE))</f>
        <v/>
      </c>
      <c r="O22" s="43" t="str">
        <f>IF(ISBLANK(M22), "", M22*VLOOKUP($F22,Internal!$B$26:$C$32,2,FALSE))</f>
        <v/>
      </c>
      <c r="P22" s="42"/>
    </row>
    <row r="23" spans="2:16" ht="9.4" customHeight="1" x14ac:dyDescent="0.35">
      <c r="B23" s="39">
        <v>13</v>
      </c>
      <c r="C23" s="40" t="str">
        <f>IF(ISBLANK(D23), "", _xlfn.CONCAT("T", TEXT(B23, "0000"), "/", VLOOKUP(D23, Internal!$B$35:C$39, 2, FALSE), IF(OR(D23="QA", D23="Revision"), _xlfn.CONCAT("/", H23), "")))</f>
        <v/>
      </c>
      <c r="D23" s="42"/>
      <c r="E23" s="41"/>
      <c r="F23" s="41"/>
      <c r="G23" s="42"/>
      <c r="H23" s="41"/>
      <c r="I23" s="44"/>
      <c r="J23" s="44"/>
      <c r="K23" s="43" t="str">
        <f t="shared" ca="1" si="0"/>
        <v/>
      </c>
      <c r="L23" s="45"/>
      <c r="M23" s="45"/>
      <c r="N23" s="43" t="str">
        <f>IF(ISBLANK(L23), "", L23*VLOOKUP($F23,Internal!$B$26:$C$32,2,FALSE))</f>
        <v/>
      </c>
      <c r="O23" s="43" t="str">
        <f>IF(ISBLANK(M23), "", M23*VLOOKUP($F23,Internal!$B$26:$C$32,2,FALSE))</f>
        <v/>
      </c>
      <c r="P23" s="42"/>
    </row>
    <row r="24" spans="2:16" ht="9.4" customHeight="1" x14ac:dyDescent="0.35">
      <c r="B24" s="39">
        <v>14</v>
      </c>
      <c r="C24" s="40" t="str">
        <f>IF(ISBLANK(D24), "", _xlfn.CONCAT("T", TEXT(B24, "0000"), "/", VLOOKUP(D24, Internal!$B$35:C$39, 2, FALSE), IF(OR(D24="QA", D24="Revision"), _xlfn.CONCAT("/", H24), "")))</f>
        <v/>
      </c>
      <c r="D24" s="42"/>
      <c r="E24" s="41"/>
      <c r="F24" s="41"/>
      <c r="G24" s="42"/>
      <c r="H24" s="41"/>
      <c r="I24" s="44"/>
      <c r="J24" s="44"/>
      <c r="K24" s="43" t="str">
        <f t="shared" ca="1" si="0"/>
        <v/>
      </c>
      <c r="L24" s="45"/>
      <c r="M24" s="45"/>
      <c r="N24" s="43" t="str">
        <f>IF(ISBLANK(L24), "", L24*VLOOKUP($F24,Internal!$B$26:$C$32,2,FALSE))</f>
        <v/>
      </c>
      <c r="O24" s="43" t="str">
        <f>IF(ISBLANK(M24), "", M24*VLOOKUP($F24,Internal!$B$26:$C$32,2,FALSE))</f>
        <v/>
      </c>
      <c r="P24" s="42"/>
    </row>
    <row r="25" spans="2:16" ht="9.4" customHeight="1" x14ac:dyDescent="0.35">
      <c r="B25" s="39">
        <v>15</v>
      </c>
      <c r="C25" s="40" t="str">
        <f>IF(ISBLANK(D25), "", _xlfn.CONCAT("T", TEXT(B25, "0000"), "/", VLOOKUP(D25, Internal!$B$35:C$39, 2, FALSE), IF(OR(D25="QA", D25="Revision"), _xlfn.CONCAT("/", H25), "")))</f>
        <v/>
      </c>
      <c r="D25" s="42"/>
      <c r="E25" s="41"/>
      <c r="F25" s="41"/>
      <c r="G25" s="42"/>
      <c r="H25" s="41"/>
      <c r="I25" s="44"/>
      <c r="J25" s="44"/>
      <c r="K25" s="43" t="str">
        <f t="shared" ca="1" si="0"/>
        <v/>
      </c>
      <c r="L25" s="45"/>
      <c r="M25" s="45"/>
      <c r="N25" s="43" t="str">
        <f>IF(ISBLANK(L25), "", L25*VLOOKUP($F25,Internal!$B$26:$C$32,2,FALSE))</f>
        <v/>
      </c>
      <c r="O25" s="43" t="str">
        <f>IF(ISBLANK(M25), "", M25*VLOOKUP($F25,Internal!$B$26:$C$32,2,FALSE))</f>
        <v/>
      </c>
      <c r="P25" s="42"/>
    </row>
    <row r="26" spans="2:16" ht="9.4" customHeight="1" x14ac:dyDescent="0.35">
      <c r="B26" s="39">
        <v>16</v>
      </c>
      <c r="C26" s="40" t="str">
        <f>IF(ISBLANK(D26), "", _xlfn.CONCAT("T", TEXT(B26, "0000"), "/", VLOOKUP(D26, Internal!$B$35:C$39, 2, FALSE), IF(OR(D26="QA", D26="Revision"), _xlfn.CONCAT("/", H26), "")))</f>
        <v/>
      </c>
      <c r="D26" s="42"/>
      <c r="E26" s="41"/>
      <c r="F26" s="41"/>
      <c r="G26" s="42"/>
      <c r="H26" s="41"/>
      <c r="I26" s="44"/>
      <c r="J26" s="44"/>
      <c r="K26" s="43" t="str">
        <f t="shared" ca="1" si="0"/>
        <v/>
      </c>
      <c r="L26" s="45"/>
      <c r="M26" s="45"/>
      <c r="N26" s="43" t="str">
        <f>IF(ISBLANK(L26), "", L26*VLOOKUP($F26,Internal!$B$26:$C$32,2,FALSE))</f>
        <v/>
      </c>
      <c r="O26" s="43" t="str">
        <f>IF(ISBLANK(M26), "", M26*VLOOKUP($F26,Internal!$B$26:$C$32,2,FALSE))</f>
        <v/>
      </c>
      <c r="P26" s="42"/>
    </row>
    <row r="27" spans="2:16" ht="9.4" customHeight="1" x14ac:dyDescent="0.35">
      <c r="B27" s="39">
        <v>17</v>
      </c>
      <c r="C27" s="40" t="str">
        <f>IF(ISBLANK(D27), "", _xlfn.CONCAT("T", TEXT(B27, "0000"), "/", VLOOKUP(D27, Internal!$B$35:C$39, 2, FALSE), IF(OR(D27="QA", D27="Revision"), _xlfn.CONCAT("/", H27), "")))</f>
        <v/>
      </c>
      <c r="D27" s="42"/>
      <c r="E27" s="41"/>
      <c r="F27" s="41"/>
      <c r="G27" s="42"/>
      <c r="H27" s="41"/>
      <c r="I27" s="44"/>
      <c r="J27" s="44"/>
      <c r="K27" s="43" t="str">
        <f t="shared" ca="1" si="0"/>
        <v/>
      </c>
      <c r="L27" s="45"/>
      <c r="M27" s="45"/>
      <c r="N27" s="43" t="str">
        <f>IF(ISBLANK(L27), "", L27*VLOOKUP($F27,Internal!$B$26:$C$32,2,FALSE))</f>
        <v/>
      </c>
      <c r="O27" s="43" t="str">
        <f>IF(ISBLANK(M27), "", M27*VLOOKUP($F27,Internal!$B$26:$C$32,2,FALSE))</f>
        <v/>
      </c>
      <c r="P27" s="42"/>
    </row>
    <row r="28" spans="2:16" ht="9.4" customHeight="1" x14ac:dyDescent="0.35">
      <c r="B28" s="39">
        <v>18</v>
      </c>
      <c r="C28" s="40" t="str">
        <f>IF(ISBLANK(D28), "", _xlfn.CONCAT("T", TEXT(B28, "0000"), "/", VLOOKUP(D28, Internal!$B$35:C$39, 2, FALSE), IF(OR(D28="QA", D28="Revision"), _xlfn.CONCAT("/", H28), "")))</f>
        <v/>
      </c>
      <c r="D28" s="42"/>
      <c r="E28" s="41"/>
      <c r="F28" s="41"/>
      <c r="G28" s="42"/>
      <c r="H28" s="41"/>
      <c r="I28" s="44"/>
      <c r="J28" s="44"/>
      <c r="K28" s="43" t="str">
        <f t="shared" ca="1" si="0"/>
        <v/>
      </c>
      <c r="L28" s="45"/>
      <c r="M28" s="45"/>
      <c r="N28" s="43" t="str">
        <f>IF(ISBLANK(L28), "", L28*VLOOKUP($F28,Internal!$B$26:$C$32,2,FALSE))</f>
        <v/>
      </c>
      <c r="O28" s="43" t="str">
        <f>IF(ISBLANK(M28), "", M28*VLOOKUP($F28,Internal!$B$26:$C$32,2,FALSE))</f>
        <v/>
      </c>
      <c r="P28" s="42"/>
    </row>
    <row r="29" spans="2:16" ht="9.4" customHeight="1" x14ac:dyDescent="0.35">
      <c r="B29" s="39">
        <v>19</v>
      </c>
      <c r="C29" s="40" t="str">
        <f>IF(ISBLANK(D29), "", _xlfn.CONCAT("T", TEXT(B29, "0000"), "/", VLOOKUP(D29, Internal!$B$35:C$39, 2, FALSE), IF(OR(D29="QA", D29="Revision"), _xlfn.CONCAT("/", H29), "")))</f>
        <v/>
      </c>
      <c r="D29" s="42"/>
      <c r="E29" s="41"/>
      <c r="F29" s="41"/>
      <c r="G29" s="42"/>
      <c r="H29" s="41"/>
      <c r="I29" s="44"/>
      <c r="J29" s="44"/>
      <c r="K29" s="43" t="str">
        <f t="shared" ca="1" si="0"/>
        <v/>
      </c>
      <c r="L29" s="45"/>
      <c r="M29" s="45"/>
      <c r="N29" s="43" t="str">
        <f>IF(ISBLANK(L29), "", L29*VLOOKUP($F29,Internal!$B$26:$C$32,2,FALSE))</f>
        <v/>
      </c>
      <c r="O29" s="43" t="str">
        <f>IF(ISBLANK(M29), "", M29*VLOOKUP($F29,Internal!$B$26:$C$32,2,FALSE))</f>
        <v/>
      </c>
      <c r="P29" s="42"/>
    </row>
    <row r="30" spans="2:16" ht="9.4" customHeight="1" x14ac:dyDescent="0.35">
      <c r="B30" s="39">
        <v>20</v>
      </c>
      <c r="C30" s="40" t="str">
        <f>IF(ISBLANK(D30), "", _xlfn.CONCAT("T", TEXT(B30, "0000"), "/", VLOOKUP(D30, Internal!$B$35:C$39, 2, FALSE), IF(OR(D30="QA", D30="Revision"), _xlfn.CONCAT("/", H30), "")))</f>
        <v/>
      </c>
      <c r="D30" s="42"/>
      <c r="E30" s="41"/>
      <c r="F30" s="41"/>
      <c r="G30" s="42"/>
      <c r="H30" s="41"/>
      <c r="I30" s="44"/>
      <c r="J30" s="44"/>
      <c r="K30" s="43" t="str">
        <f t="shared" ca="1" si="0"/>
        <v/>
      </c>
      <c r="L30" s="45"/>
      <c r="M30" s="45"/>
      <c r="N30" s="43" t="str">
        <f>IF(ISBLANK(L30), "", L30*VLOOKUP($F30,Internal!$B$26:$C$32,2,FALSE))</f>
        <v/>
      </c>
      <c r="O30" s="43" t="str">
        <f>IF(ISBLANK(M30), "", M30*VLOOKUP($F30,Internal!$B$26:$C$32,2,FALSE))</f>
        <v/>
      </c>
      <c r="P30" s="42"/>
    </row>
    <row r="31" spans="2:16" ht="9.4" customHeight="1" x14ac:dyDescent="0.35">
      <c r="B31" s="39">
        <v>21</v>
      </c>
      <c r="C31" s="40" t="str">
        <f>IF(ISBLANK(D31), "", _xlfn.CONCAT("T", TEXT(B31, "0000"), "/", VLOOKUP(D31, Internal!$B$35:C$39, 2, FALSE), IF(OR(D31="QA", D31="Revision"), _xlfn.CONCAT("/", H31), "")))</f>
        <v/>
      </c>
      <c r="D31" s="42"/>
      <c r="E31" s="41"/>
      <c r="F31" s="41"/>
      <c r="G31" s="42"/>
      <c r="H31" s="41"/>
      <c r="I31" s="44"/>
      <c r="J31" s="44"/>
      <c r="K31" s="43" t="str">
        <f t="shared" ca="1" si="0"/>
        <v/>
      </c>
      <c r="L31" s="45"/>
      <c r="M31" s="45"/>
      <c r="N31" s="43" t="str">
        <f>IF(ISBLANK(L31), "", L31*VLOOKUP($F31,Internal!$B$26:$C$32,2,FALSE))</f>
        <v/>
      </c>
      <c r="O31" s="43" t="str">
        <f>IF(ISBLANK(M31), "", M31*VLOOKUP($F31,Internal!$B$26:$C$32,2,FALSE))</f>
        <v/>
      </c>
      <c r="P31" s="42"/>
    </row>
    <row r="32" spans="2:16" ht="9.4" customHeight="1" x14ac:dyDescent="0.35">
      <c r="B32" s="39">
        <v>22</v>
      </c>
      <c r="C32" s="40" t="str">
        <f>IF(ISBLANK(D32), "", _xlfn.CONCAT("T", TEXT(B32, "0000"), "/", VLOOKUP(D32, Internal!$B$35:C$39, 2, FALSE), IF(OR(D32="QA", D32="Revision"), _xlfn.CONCAT("/", H32), "")))</f>
        <v/>
      </c>
      <c r="D32" s="42"/>
      <c r="E32" s="41"/>
      <c r="F32" s="41"/>
      <c r="G32" s="42"/>
      <c r="H32" s="41"/>
      <c r="I32" s="44"/>
      <c r="J32" s="44"/>
      <c r="K32" s="43" t="str">
        <f t="shared" ca="1" si="0"/>
        <v/>
      </c>
      <c r="L32" s="45"/>
      <c r="M32" s="45"/>
      <c r="N32" s="43" t="str">
        <f>IF(ISBLANK(L32), "", L32*VLOOKUP($F32,Internal!$B$26:$C$32,2,FALSE))</f>
        <v/>
      </c>
      <c r="O32" s="43" t="str">
        <f>IF(ISBLANK(M32), "", M32*VLOOKUP($F32,Internal!$B$26:$C$32,2,FALSE))</f>
        <v/>
      </c>
      <c r="P32" s="42"/>
    </row>
    <row r="33" spans="2:16" ht="9.4" customHeight="1" x14ac:dyDescent="0.35">
      <c r="B33" s="39">
        <v>23</v>
      </c>
      <c r="C33" s="40" t="str">
        <f>IF(ISBLANK(D33), "", _xlfn.CONCAT("T", TEXT(B33, "0000"), "/", VLOOKUP(D33, Internal!$B$35:C$39, 2, FALSE), IF(OR(D33="QA", D33="Revision"), _xlfn.CONCAT("/", H33), "")))</f>
        <v/>
      </c>
      <c r="D33" s="42"/>
      <c r="E33" s="41"/>
      <c r="F33" s="41"/>
      <c r="G33" s="42"/>
      <c r="H33" s="41"/>
      <c r="I33" s="44"/>
      <c r="J33" s="44"/>
      <c r="K33" s="43" t="str">
        <f t="shared" ca="1" si="0"/>
        <v/>
      </c>
      <c r="L33" s="45"/>
      <c r="M33" s="45"/>
      <c r="N33" s="43" t="str">
        <f>IF(ISBLANK(L33), "", L33*VLOOKUP($F33,Internal!$B$26:$C$32,2,FALSE))</f>
        <v/>
      </c>
      <c r="O33" s="43" t="str">
        <f>IF(ISBLANK(M33), "", M33*VLOOKUP($F33,Internal!$B$26:$C$32,2,FALSE))</f>
        <v/>
      </c>
      <c r="P33" s="42"/>
    </row>
    <row r="34" spans="2:16" ht="9.4" customHeight="1" x14ac:dyDescent="0.35">
      <c r="B34" s="39">
        <v>24</v>
      </c>
      <c r="C34" s="40" t="str">
        <f>IF(ISBLANK(D34), "", _xlfn.CONCAT("T", TEXT(B34, "0000"), "/", VLOOKUP(D34, Internal!$B$35:C$39, 2, FALSE), IF(OR(D34="QA", D34="Revision"), _xlfn.CONCAT("/", H34), "")))</f>
        <v/>
      </c>
      <c r="D34" s="42"/>
      <c r="E34" s="41"/>
      <c r="F34" s="41"/>
      <c r="G34" s="42"/>
      <c r="H34" s="41"/>
      <c r="I34" s="44"/>
      <c r="J34" s="44"/>
      <c r="K34" s="43" t="str">
        <f t="shared" ca="1" si="0"/>
        <v/>
      </c>
      <c r="L34" s="45"/>
      <c r="M34" s="45"/>
      <c r="N34" s="43" t="str">
        <f>IF(ISBLANK(L34), "", L34*VLOOKUP($F34,Internal!$B$26:$C$32,2,FALSE))</f>
        <v/>
      </c>
      <c r="O34" s="43" t="str">
        <f>IF(ISBLANK(M34), "", M34*VLOOKUP($F34,Internal!$B$26:$C$32,2,FALSE))</f>
        <v/>
      </c>
      <c r="P34" s="42"/>
    </row>
    <row r="35" spans="2:16" ht="9.4" customHeight="1" x14ac:dyDescent="0.35">
      <c r="B35" s="39">
        <v>25</v>
      </c>
      <c r="C35" s="40" t="str">
        <f>IF(ISBLANK(D35), "", _xlfn.CONCAT("T", TEXT(B35, "0000"), "/", VLOOKUP(D35, Internal!$B$35:C$39, 2, FALSE), IF(OR(D35="QA", D35="Revision"), _xlfn.CONCAT("/", H35), "")))</f>
        <v/>
      </c>
      <c r="D35" s="42"/>
      <c r="E35" s="41"/>
      <c r="F35" s="41"/>
      <c r="G35" s="42"/>
      <c r="H35" s="41"/>
      <c r="I35" s="44"/>
      <c r="J35" s="44"/>
      <c r="K35" s="43" t="str">
        <f t="shared" ca="1" si="0"/>
        <v/>
      </c>
      <c r="L35" s="45"/>
      <c r="M35" s="45"/>
      <c r="N35" s="43" t="str">
        <f>IF(ISBLANK(L35), "", L35*VLOOKUP($F35,Internal!$B$26:$C$32,2,FALSE))</f>
        <v/>
      </c>
      <c r="O35" s="43" t="str">
        <f>IF(ISBLANK(M35), "", M35*VLOOKUP($F35,Internal!$B$26:$C$32,2,FALSE))</f>
        <v/>
      </c>
      <c r="P35" s="42"/>
    </row>
    <row r="36" spans="2:16" ht="9.4" customHeight="1" x14ac:dyDescent="0.35">
      <c r="B36" s="39">
        <v>26</v>
      </c>
      <c r="C36" s="40" t="str">
        <f>IF(ISBLANK(D36), "", _xlfn.CONCAT("T", TEXT(B36, "0000"), "/", VLOOKUP(D36, Internal!$B$35:C$39, 2, FALSE), IF(OR(D36="QA", D36="Revision"), _xlfn.CONCAT("/", H36), "")))</f>
        <v/>
      </c>
      <c r="D36" s="42"/>
      <c r="E36" s="41"/>
      <c r="F36" s="41"/>
      <c r="G36" s="42"/>
      <c r="H36" s="41"/>
      <c r="I36" s="44"/>
      <c r="J36" s="44"/>
      <c r="K36" s="43" t="str">
        <f t="shared" ca="1" si="0"/>
        <v/>
      </c>
      <c r="L36" s="45"/>
      <c r="M36" s="45"/>
      <c r="N36" s="43" t="str">
        <f>IF(ISBLANK(L36), "", L36*VLOOKUP($F36,Internal!$B$26:$C$32,2,FALSE))</f>
        <v/>
      </c>
      <c r="O36" s="43" t="str">
        <f>IF(ISBLANK(M36), "", M36*VLOOKUP($F36,Internal!$B$26:$C$32,2,FALSE))</f>
        <v/>
      </c>
      <c r="P36" s="42"/>
    </row>
    <row r="37" spans="2:16" ht="9.4" customHeight="1" x14ac:dyDescent="0.35">
      <c r="B37" s="39">
        <v>27</v>
      </c>
      <c r="C37" s="40" t="str">
        <f>IF(ISBLANK(D37), "", _xlfn.CONCAT("T", TEXT(B37, "0000"), "/", VLOOKUP(D37, Internal!$B$35:C$39, 2, FALSE), IF(OR(D37="QA", D37="Revision"), _xlfn.CONCAT("/", H37), "")))</f>
        <v/>
      </c>
      <c r="D37" s="42"/>
      <c r="E37" s="41"/>
      <c r="F37" s="41"/>
      <c r="G37" s="42"/>
      <c r="H37" s="41"/>
      <c r="I37" s="44"/>
      <c r="J37" s="44"/>
      <c r="K37" s="43" t="str">
        <f t="shared" ca="1" si="0"/>
        <v/>
      </c>
      <c r="L37" s="45"/>
      <c r="M37" s="45"/>
      <c r="N37" s="43" t="str">
        <f>IF(ISBLANK(L37), "", L37*VLOOKUP($F37,Internal!$B$26:$C$32,2,FALSE))</f>
        <v/>
      </c>
      <c r="O37" s="43" t="str">
        <f>IF(ISBLANK(M37), "", M37*VLOOKUP($F37,Internal!$B$26:$C$32,2,FALSE))</f>
        <v/>
      </c>
      <c r="P37" s="42"/>
    </row>
    <row r="38" spans="2:16" ht="9.4" customHeight="1" x14ac:dyDescent="0.35">
      <c r="B38" s="39">
        <v>28</v>
      </c>
      <c r="C38" s="40" t="str">
        <f>IF(ISBLANK(D38), "", _xlfn.CONCAT("T", TEXT(B38, "0000"), "/", VLOOKUP(D38, Internal!$B$35:C$39, 2, FALSE), IF(OR(D38="QA", D38="Revision"), _xlfn.CONCAT("/", H38), "")))</f>
        <v/>
      </c>
      <c r="D38" s="42"/>
      <c r="E38" s="41"/>
      <c r="F38" s="41"/>
      <c r="G38" s="42"/>
      <c r="H38" s="41"/>
      <c r="I38" s="44"/>
      <c r="J38" s="44"/>
      <c r="K38" s="43" t="str">
        <f t="shared" ca="1" si="0"/>
        <v/>
      </c>
      <c r="L38" s="45"/>
      <c r="M38" s="45"/>
      <c r="N38" s="43" t="str">
        <f>IF(ISBLANK(L38), "", L38*VLOOKUP($F38,Internal!$B$26:$C$32,2,FALSE))</f>
        <v/>
      </c>
      <c r="O38" s="43" t="str">
        <f>IF(ISBLANK(M38), "", M38*VLOOKUP($F38,Internal!$B$26:$C$32,2,FALSE))</f>
        <v/>
      </c>
      <c r="P38" s="42"/>
    </row>
    <row r="39" spans="2:16" ht="9.4" customHeight="1" x14ac:dyDescent="0.35">
      <c r="B39" s="39">
        <v>29</v>
      </c>
      <c r="C39" s="40" t="str">
        <f>IF(ISBLANK(D39), "", _xlfn.CONCAT("T", TEXT(B39, "0000"), "/", VLOOKUP(D39, Internal!$B$35:C$39, 2, FALSE), IF(OR(D39="QA", D39="Revision"), _xlfn.CONCAT("/", H39), "")))</f>
        <v/>
      </c>
      <c r="D39" s="42"/>
      <c r="E39" s="41"/>
      <c r="F39" s="41"/>
      <c r="G39" s="42"/>
      <c r="H39" s="41"/>
      <c r="I39" s="44"/>
      <c r="J39" s="44"/>
      <c r="K39" s="43" t="str">
        <f t="shared" ca="1" si="0"/>
        <v/>
      </c>
      <c r="L39" s="45"/>
      <c r="M39" s="45"/>
      <c r="N39" s="43" t="str">
        <f>IF(ISBLANK(L39), "", L39*VLOOKUP($F39,Internal!$B$26:$C$32,2,FALSE))</f>
        <v/>
      </c>
      <c r="O39" s="43" t="str">
        <f>IF(ISBLANK(M39), "", M39*VLOOKUP($F39,Internal!$B$26:$C$32,2,FALSE))</f>
        <v/>
      </c>
      <c r="P39" s="42"/>
    </row>
    <row r="40" spans="2:16" ht="9.4" customHeight="1" x14ac:dyDescent="0.35">
      <c r="B40" s="39">
        <v>30</v>
      </c>
      <c r="C40" s="40" t="str">
        <f>IF(ISBLANK(D40), "", _xlfn.CONCAT("T", TEXT(B40, "0000"), "/", VLOOKUP(D40, Internal!$B$35:C$39, 2, FALSE), IF(OR(D40="QA", D40="Revision"), _xlfn.CONCAT("/", H40), "")))</f>
        <v/>
      </c>
      <c r="D40" s="42"/>
      <c r="E40" s="41"/>
      <c r="F40" s="41"/>
      <c r="G40" s="42"/>
      <c r="H40" s="41"/>
      <c r="I40" s="44"/>
      <c r="J40" s="44"/>
      <c r="K40" s="43" t="str">
        <f t="shared" ca="1" si="0"/>
        <v/>
      </c>
      <c r="L40" s="45"/>
      <c r="M40" s="45"/>
      <c r="N40" s="43" t="str">
        <f>IF(ISBLANK(L40), "", L40*VLOOKUP($F40,Internal!$B$26:$C$32,2,FALSE))</f>
        <v/>
      </c>
      <c r="O40" s="43" t="str">
        <f>IF(ISBLANK(M40), "", M40*VLOOKUP($F40,Internal!$B$26:$C$32,2,FALSE))</f>
        <v/>
      </c>
      <c r="P40" s="42"/>
    </row>
    <row r="41" spans="2:16" ht="9.4" customHeight="1" x14ac:dyDescent="0.35">
      <c r="B41" s="39">
        <v>31</v>
      </c>
      <c r="C41" s="40" t="str">
        <f>IF(ISBLANK(D41), "", _xlfn.CONCAT("T", TEXT(B41, "0000"), "/", VLOOKUP(D41, Internal!$B$35:C$39, 2, FALSE), IF(OR(D41="QA", D41="Revision"), _xlfn.CONCAT("/", H41), "")))</f>
        <v/>
      </c>
      <c r="D41" s="42"/>
      <c r="E41" s="41"/>
      <c r="F41" s="41"/>
      <c r="G41" s="42"/>
      <c r="H41" s="41"/>
      <c r="I41" s="44"/>
      <c r="J41" s="44"/>
      <c r="K41" s="43" t="str">
        <f t="shared" ca="1" si="0"/>
        <v/>
      </c>
      <c r="L41" s="45"/>
      <c r="M41" s="45"/>
      <c r="N41" s="43" t="str">
        <f>IF(ISBLANK(L41), "", L41*VLOOKUP($F41,Internal!$B$26:$C$32,2,FALSE))</f>
        <v/>
      </c>
      <c r="O41" s="43" t="str">
        <f>IF(ISBLANK(M41), "", M41*VLOOKUP($F41,Internal!$B$26:$C$32,2,FALSE))</f>
        <v/>
      </c>
      <c r="P41" s="42"/>
    </row>
    <row r="42" spans="2:16" ht="9.4" customHeight="1" x14ac:dyDescent="0.35">
      <c r="B42" s="39">
        <v>32</v>
      </c>
      <c r="C42" s="40" t="str">
        <f>IF(ISBLANK(D42), "", _xlfn.CONCAT("T", TEXT(B42, "0000"), "/", VLOOKUP(D42, Internal!$B$35:C$39, 2, FALSE), IF(OR(D42="QA", D42="Revision"), _xlfn.CONCAT("/", H42), "")))</f>
        <v/>
      </c>
      <c r="D42" s="42"/>
      <c r="E42" s="41"/>
      <c r="F42" s="41"/>
      <c r="G42" s="42"/>
      <c r="H42" s="41"/>
      <c r="I42" s="44"/>
      <c r="J42" s="44"/>
      <c r="K42" s="43" t="str">
        <f t="shared" ca="1" si="0"/>
        <v/>
      </c>
      <c r="L42" s="45"/>
      <c r="M42" s="45"/>
      <c r="N42" s="43" t="str">
        <f>IF(ISBLANK(L42), "", L42*VLOOKUP($F42,Internal!$B$26:$C$32,2,FALSE))</f>
        <v/>
      </c>
      <c r="O42" s="43" t="str">
        <f>IF(ISBLANK(M42), "", M42*VLOOKUP($F42,Internal!$B$26:$C$32,2,FALSE))</f>
        <v/>
      </c>
      <c r="P42" s="42"/>
    </row>
    <row r="43" spans="2:16" ht="9.4" customHeight="1" x14ac:dyDescent="0.35">
      <c r="B43" s="39">
        <v>33</v>
      </c>
      <c r="C43" s="40" t="str">
        <f>IF(ISBLANK(D43), "", _xlfn.CONCAT("T", TEXT(B43, "0000"), "/", VLOOKUP(D43, Internal!$B$35:C$39, 2, FALSE), IF(OR(D43="QA", D43="Revision"), _xlfn.CONCAT("/", H43), "")))</f>
        <v/>
      </c>
      <c r="D43" s="42"/>
      <c r="E43" s="41"/>
      <c r="F43" s="41"/>
      <c r="G43" s="42"/>
      <c r="H43" s="41"/>
      <c r="I43" s="44"/>
      <c r="J43" s="44"/>
      <c r="K43" s="43" t="str">
        <f t="shared" ca="1" si="0"/>
        <v/>
      </c>
      <c r="L43" s="45"/>
      <c r="M43" s="45"/>
      <c r="N43" s="43" t="str">
        <f>IF(ISBLANK(L43), "", L43*VLOOKUP($F43,Internal!$B$26:$C$32,2,FALSE))</f>
        <v/>
      </c>
      <c r="O43" s="43" t="str">
        <f>IF(ISBLANK(M43), "", M43*VLOOKUP($F43,Internal!$B$26:$C$32,2,FALSE))</f>
        <v/>
      </c>
      <c r="P43" s="42"/>
    </row>
    <row r="44" spans="2:16" ht="9.4" customHeight="1" x14ac:dyDescent="0.35">
      <c r="B44" s="39">
        <v>34</v>
      </c>
      <c r="C44" s="40" t="str">
        <f>IF(ISBLANK(D44), "", _xlfn.CONCAT("T", TEXT(B44, "0000"), "/", VLOOKUP(D44, Internal!$B$35:C$39, 2, FALSE), IF(OR(D44="QA", D44="Revision"), _xlfn.CONCAT("/", H44), "")))</f>
        <v/>
      </c>
      <c r="D44" s="42"/>
      <c r="E44" s="41"/>
      <c r="F44" s="41"/>
      <c r="G44" s="42"/>
      <c r="H44" s="41"/>
      <c r="I44" s="44"/>
      <c r="J44" s="44"/>
      <c r="K44" s="43" t="str">
        <f t="shared" ca="1" si="0"/>
        <v/>
      </c>
      <c r="L44" s="45"/>
      <c r="M44" s="45"/>
      <c r="N44" s="43" t="str">
        <f>IF(ISBLANK(L44), "", L44*VLOOKUP($F44,Internal!$B$26:$C$32,2,FALSE))</f>
        <v/>
      </c>
      <c r="O44" s="43" t="str">
        <f>IF(ISBLANK(M44), "", M44*VLOOKUP($F44,Internal!$B$26:$C$32,2,FALSE))</f>
        <v/>
      </c>
      <c r="P44" s="42"/>
    </row>
    <row r="45" spans="2:16" ht="9.4" customHeight="1" x14ac:dyDescent="0.35">
      <c r="B45" s="39">
        <v>35</v>
      </c>
      <c r="C45" s="40" t="str">
        <f>IF(ISBLANK(D45), "", _xlfn.CONCAT("T", TEXT(B45, "0000"), "/", VLOOKUP(D45, Internal!$B$35:C$39, 2, FALSE), IF(OR(D45="QA", D45="Revision"), _xlfn.CONCAT("/", H45), "")))</f>
        <v/>
      </c>
      <c r="D45" s="42"/>
      <c r="E45" s="41"/>
      <c r="F45" s="41"/>
      <c r="G45" s="42"/>
      <c r="H45" s="41"/>
      <c r="I45" s="44"/>
      <c r="J45" s="44"/>
      <c r="K45" s="43" t="str">
        <f t="shared" ca="1" si="0"/>
        <v/>
      </c>
      <c r="L45" s="45"/>
      <c r="M45" s="45"/>
      <c r="N45" s="43" t="str">
        <f>IF(ISBLANK(L45), "", L45*VLOOKUP($F45,Internal!$B$26:$C$32,2,FALSE))</f>
        <v/>
      </c>
      <c r="O45" s="43" t="str">
        <f>IF(ISBLANK(M45), "", M45*VLOOKUP($F45,Internal!$B$26:$C$32,2,FALSE))</f>
        <v/>
      </c>
      <c r="P45" s="42"/>
    </row>
    <row r="46" spans="2:16" ht="9.4" customHeight="1" x14ac:dyDescent="0.35">
      <c r="B46" s="39">
        <v>36</v>
      </c>
      <c r="C46" s="40" t="str">
        <f>IF(ISBLANK(D46), "", _xlfn.CONCAT("T", TEXT(B46, "0000"), "/", VLOOKUP(D46, Internal!$B$35:C$39, 2, FALSE), IF(OR(D46="QA", D46="Revision"), _xlfn.CONCAT("/", H46), "")))</f>
        <v/>
      </c>
      <c r="D46" s="42"/>
      <c r="E46" s="41"/>
      <c r="F46" s="41"/>
      <c r="G46" s="42"/>
      <c r="H46" s="41"/>
      <c r="I46" s="44"/>
      <c r="J46" s="44"/>
      <c r="K46" s="43" t="str">
        <f t="shared" ca="1" si="0"/>
        <v/>
      </c>
      <c r="L46" s="45"/>
      <c r="M46" s="45"/>
      <c r="N46" s="43" t="str">
        <f>IF(ISBLANK(L46), "", L46*VLOOKUP($F46,Internal!$B$26:$C$32,2,FALSE))</f>
        <v/>
      </c>
      <c r="O46" s="43" t="str">
        <f>IF(ISBLANK(M46), "", M46*VLOOKUP($F46,Internal!$B$26:$C$32,2,FALSE))</f>
        <v/>
      </c>
      <c r="P46" s="42"/>
    </row>
    <row r="47" spans="2:16" ht="9.4" customHeight="1" x14ac:dyDescent="0.35">
      <c r="B47" s="39">
        <v>37</v>
      </c>
      <c r="C47" s="40" t="str">
        <f>IF(ISBLANK(D47), "", _xlfn.CONCAT("T", TEXT(B47, "0000"), "/", VLOOKUP(D47, Internal!$B$35:C$39, 2, FALSE), IF(OR(D47="QA", D47="Revision"), _xlfn.CONCAT("/", H47), "")))</f>
        <v/>
      </c>
      <c r="D47" s="42"/>
      <c r="E47" s="41"/>
      <c r="F47" s="41"/>
      <c r="G47" s="42"/>
      <c r="H47" s="41"/>
      <c r="I47" s="44"/>
      <c r="J47" s="44"/>
      <c r="K47" s="43" t="str">
        <f t="shared" ca="1" si="0"/>
        <v/>
      </c>
      <c r="L47" s="45"/>
      <c r="M47" s="45"/>
      <c r="N47" s="43" t="str">
        <f>IF(ISBLANK(L47), "", L47*VLOOKUP($F47,Internal!$B$26:$C$32,2,FALSE))</f>
        <v/>
      </c>
      <c r="O47" s="43" t="str">
        <f>IF(ISBLANK(M47), "", M47*VLOOKUP($F47,Internal!$B$26:$C$32,2,FALSE))</f>
        <v/>
      </c>
      <c r="P47" s="42"/>
    </row>
    <row r="48" spans="2:16" ht="9.4" customHeight="1" x14ac:dyDescent="0.35">
      <c r="B48" s="39">
        <v>38</v>
      </c>
      <c r="C48" s="40" t="str">
        <f>IF(ISBLANK(D48), "", _xlfn.CONCAT("T", TEXT(B48, "0000"), "/", VLOOKUP(D48, Internal!$B$35:C$39, 2, FALSE), IF(OR(D48="QA", D48="Revision"), _xlfn.CONCAT("/", H48), "")))</f>
        <v/>
      </c>
      <c r="D48" s="42"/>
      <c r="E48" s="41"/>
      <c r="F48" s="41"/>
      <c r="G48" s="42"/>
      <c r="H48" s="41"/>
      <c r="I48" s="44"/>
      <c r="J48" s="44"/>
      <c r="K48" s="43" t="str">
        <f t="shared" ref="K48:K79" ca="1" si="1">IF(OR(I48="",J48=""),"",IF(AND(J48&lt;&gt;"",I48&gt;=NOW()),"Planned",IF(AND(J48&lt;&gt;"",J48&lt;NOW()),"Completed","Ongoing")))</f>
        <v/>
      </c>
      <c r="L48" s="45"/>
      <c r="M48" s="45"/>
      <c r="N48" s="43" t="str">
        <f>IF(ISBLANK(L48), "", L48*VLOOKUP($F48,Internal!$B$26:$C$32,2,FALSE))</f>
        <v/>
      </c>
      <c r="O48" s="43" t="str">
        <f>IF(ISBLANK(M48), "", M48*VLOOKUP($F48,Internal!$B$26:$C$32,2,FALSE))</f>
        <v/>
      </c>
      <c r="P48" s="42"/>
    </row>
    <row r="49" spans="2:16" ht="9.4" customHeight="1" x14ac:dyDescent="0.35">
      <c r="B49" s="39">
        <v>39</v>
      </c>
      <c r="C49" s="40" t="str">
        <f>IF(ISBLANK(D49), "", _xlfn.CONCAT("T", TEXT(B49, "0000"), "/", VLOOKUP(D49, Internal!$B$35:C$39, 2, FALSE), IF(OR(D49="QA", D49="Revision"), _xlfn.CONCAT("/", H49), "")))</f>
        <v/>
      </c>
      <c r="D49" s="42"/>
      <c r="E49" s="41"/>
      <c r="F49" s="41"/>
      <c r="G49" s="42"/>
      <c r="H49" s="41"/>
      <c r="I49" s="44"/>
      <c r="J49" s="44"/>
      <c r="K49" s="43" t="str">
        <f t="shared" ca="1" si="1"/>
        <v/>
      </c>
      <c r="L49" s="45"/>
      <c r="M49" s="45"/>
      <c r="N49" s="43" t="str">
        <f>IF(ISBLANK(L49), "", L49*VLOOKUP($F49,Internal!$B$26:$C$32,2,FALSE))</f>
        <v/>
      </c>
      <c r="O49" s="43" t="str">
        <f>IF(ISBLANK(M49), "", M49*VLOOKUP($F49,Internal!$B$26:$C$32,2,FALSE))</f>
        <v/>
      </c>
      <c r="P49" s="42"/>
    </row>
    <row r="50" spans="2:16" ht="9.4" customHeight="1" x14ac:dyDescent="0.35">
      <c r="B50" s="39">
        <v>40</v>
      </c>
      <c r="C50" s="40" t="str">
        <f>IF(ISBLANK(D50), "", _xlfn.CONCAT("T", TEXT(B50, "0000"), "/", VLOOKUP(D50, Internal!$B$35:C$39, 2, FALSE), IF(OR(D50="QA", D50="Revision"), _xlfn.CONCAT("/", H50), "")))</f>
        <v/>
      </c>
      <c r="D50" s="42"/>
      <c r="E50" s="41"/>
      <c r="F50" s="41"/>
      <c r="G50" s="42"/>
      <c r="H50" s="41"/>
      <c r="I50" s="44"/>
      <c r="J50" s="44"/>
      <c r="K50" s="43" t="str">
        <f t="shared" ca="1" si="1"/>
        <v/>
      </c>
      <c r="L50" s="45"/>
      <c r="M50" s="45"/>
      <c r="N50" s="43" t="str">
        <f>IF(ISBLANK(L50), "", L50*VLOOKUP($F50,Internal!$B$26:$C$32,2,FALSE))</f>
        <v/>
      </c>
      <c r="O50" s="43" t="str">
        <f>IF(ISBLANK(M50), "", M50*VLOOKUP($F50,Internal!$B$26:$C$32,2,FALSE))</f>
        <v/>
      </c>
      <c r="P50" s="42"/>
    </row>
    <row r="51" spans="2:16" ht="9.4" customHeight="1" x14ac:dyDescent="0.35">
      <c r="B51" s="39">
        <v>41</v>
      </c>
      <c r="C51" s="40" t="str">
        <f>IF(ISBLANK(D51), "", _xlfn.CONCAT("T", TEXT(B51, "0000"), "/", VLOOKUP(D51, Internal!$B$35:C$39, 2, FALSE), IF(OR(D51="QA", D51="Revision"), _xlfn.CONCAT("/", H51), "")))</f>
        <v/>
      </c>
      <c r="D51" s="42"/>
      <c r="E51" s="41"/>
      <c r="F51" s="41"/>
      <c r="G51" s="42"/>
      <c r="H51" s="41"/>
      <c r="I51" s="44"/>
      <c r="J51" s="44"/>
      <c r="K51" s="43" t="str">
        <f t="shared" ca="1" si="1"/>
        <v/>
      </c>
      <c r="L51" s="45"/>
      <c r="M51" s="45"/>
      <c r="N51" s="43" t="str">
        <f>IF(ISBLANK(L51), "", L51*VLOOKUP($F51,Internal!$B$26:$C$32,2,FALSE))</f>
        <v/>
      </c>
      <c r="O51" s="43" t="str">
        <f>IF(ISBLANK(M51), "", M51*VLOOKUP($F51,Internal!$B$26:$C$32,2,FALSE))</f>
        <v/>
      </c>
      <c r="P51" s="42"/>
    </row>
    <row r="52" spans="2:16" ht="9.4" customHeight="1" x14ac:dyDescent="0.35">
      <c r="B52" s="39">
        <v>42</v>
      </c>
      <c r="C52" s="40" t="str">
        <f>IF(ISBLANK(D52), "", _xlfn.CONCAT("T", TEXT(B52, "0000"), "/", VLOOKUP(D52, Internal!$B$35:C$39, 2, FALSE), IF(OR(D52="QA", D52="Revision"), _xlfn.CONCAT("/", H52), "")))</f>
        <v/>
      </c>
      <c r="D52" s="42"/>
      <c r="E52" s="41"/>
      <c r="F52" s="41"/>
      <c r="G52" s="42"/>
      <c r="H52" s="41"/>
      <c r="I52" s="44"/>
      <c r="J52" s="44"/>
      <c r="K52" s="43" t="str">
        <f t="shared" ca="1" si="1"/>
        <v/>
      </c>
      <c r="L52" s="45"/>
      <c r="M52" s="45"/>
      <c r="N52" s="43" t="str">
        <f>IF(ISBLANK(L52), "", L52*VLOOKUP($F52,Internal!$B$26:$C$32,2,FALSE))</f>
        <v/>
      </c>
      <c r="O52" s="43" t="str">
        <f>IF(ISBLANK(M52), "", M52*VLOOKUP($F52,Internal!$B$26:$C$32,2,FALSE))</f>
        <v/>
      </c>
      <c r="P52" s="42"/>
    </row>
    <row r="53" spans="2:16" ht="9.4" customHeight="1" x14ac:dyDescent="0.35">
      <c r="B53" s="39">
        <v>43</v>
      </c>
      <c r="C53" s="40" t="str">
        <f>IF(ISBLANK(D53), "", _xlfn.CONCAT("T", TEXT(B53, "0000"), "/", VLOOKUP(D53, Internal!$B$35:C$39, 2, FALSE), IF(OR(D53="QA", D53="Revision"), _xlfn.CONCAT("/", H53), "")))</f>
        <v/>
      </c>
      <c r="D53" s="42"/>
      <c r="E53" s="41"/>
      <c r="F53" s="41"/>
      <c r="G53" s="42"/>
      <c r="H53" s="41"/>
      <c r="I53" s="44"/>
      <c r="J53" s="44"/>
      <c r="K53" s="43" t="str">
        <f t="shared" ca="1" si="1"/>
        <v/>
      </c>
      <c r="L53" s="45"/>
      <c r="M53" s="45"/>
      <c r="N53" s="43" t="str">
        <f>IF(ISBLANK(L53), "", L53*VLOOKUP($F53,Internal!$B$26:$C$32,2,FALSE))</f>
        <v/>
      </c>
      <c r="O53" s="43" t="str">
        <f>IF(ISBLANK(M53), "", M53*VLOOKUP($F53,Internal!$B$26:$C$32,2,FALSE))</f>
        <v/>
      </c>
      <c r="P53" s="42"/>
    </row>
    <row r="54" spans="2:16" ht="9.4" customHeight="1" x14ac:dyDescent="0.35">
      <c r="B54" s="39">
        <v>44</v>
      </c>
      <c r="C54" s="40" t="str">
        <f>IF(ISBLANK(D54), "", _xlfn.CONCAT("T", TEXT(B54, "0000"), "/", VLOOKUP(D54, Internal!$B$35:C$39, 2, FALSE), IF(OR(D54="QA", D54="Revision"), _xlfn.CONCAT("/", H54), "")))</f>
        <v/>
      </c>
      <c r="D54" s="42"/>
      <c r="E54" s="41"/>
      <c r="F54" s="41"/>
      <c r="G54" s="42"/>
      <c r="H54" s="41"/>
      <c r="I54" s="44"/>
      <c r="J54" s="44"/>
      <c r="K54" s="43" t="str">
        <f t="shared" ca="1" si="1"/>
        <v/>
      </c>
      <c r="L54" s="45"/>
      <c r="M54" s="45"/>
      <c r="N54" s="43" t="str">
        <f>IF(ISBLANK(L54), "", L54*VLOOKUP($F54,Internal!$B$26:$C$32,2,FALSE))</f>
        <v/>
      </c>
      <c r="O54" s="43" t="str">
        <f>IF(ISBLANK(M54), "", M54*VLOOKUP($F54,Internal!$B$26:$C$32,2,FALSE))</f>
        <v/>
      </c>
      <c r="P54" s="42"/>
    </row>
    <row r="55" spans="2:16" ht="9.4" customHeight="1" x14ac:dyDescent="0.35">
      <c r="B55" s="39">
        <v>45</v>
      </c>
      <c r="C55" s="40" t="str">
        <f>IF(ISBLANK(D55), "", _xlfn.CONCAT("T", TEXT(B55, "0000"), "/", VLOOKUP(D55, Internal!$B$35:C$39, 2, FALSE), IF(OR(D55="QA", D55="Revision"), _xlfn.CONCAT("/", H55), "")))</f>
        <v/>
      </c>
      <c r="D55" s="42"/>
      <c r="E55" s="41"/>
      <c r="F55" s="41"/>
      <c r="G55" s="42"/>
      <c r="H55" s="41"/>
      <c r="I55" s="44"/>
      <c r="J55" s="44"/>
      <c r="K55" s="43" t="str">
        <f t="shared" ca="1" si="1"/>
        <v/>
      </c>
      <c r="L55" s="45"/>
      <c r="M55" s="45"/>
      <c r="N55" s="43" t="str">
        <f>IF(ISBLANK(L55), "", L55*VLOOKUP($F55,Internal!$B$26:$C$32,2,FALSE))</f>
        <v/>
      </c>
      <c r="O55" s="43" t="str">
        <f>IF(ISBLANK(M55), "", M55*VLOOKUP($F55,Internal!$B$26:$C$32,2,FALSE))</f>
        <v/>
      </c>
      <c r="P55" s="42"/>
    </row>
    <row r="56" spans="2:16" ht="9.4" customHeight="1" x14ac:dyDescent="0.35">
      <c r="B56" s="39">
        <v>46</v>
      </c>
      <c r="C56" s="40" t="str">
        <f>IF(ISBLANK(D56), "", _xlfn.CONCAT("T", TEXT(B56, "0000"), "/", VLOOKUP(D56, Internal!$B$35:C$39, 2, FALSE), IF(OR(D56="QA", D56="Revision"), _xlfn.CONCAT("/", H56), "")))</f>
        <v/>
      </c>
      <c r="D56" s="42"/>
      <c r="E56" s="41"/>
      <c r="F56" s="41"/>
      <c r="G56" s="42"/>
      <c r="H56" s="41"/>
      <c r="I56" s="44"/>
      <c r="J56" s="44"/>
      <c r="K56" s="43" t="str">
        <f t="shared" ca="1" si="1"/>
        <v/>
      </c>
      <c r="L56" s="45"/>
      <c r="M56" s="45"/>
      <c r="N56" s="43" t="str">
        <f>IF(ISBLANK(L56), "", L56*VLOOKUP($F56,Internal!$B$26:$C$32,2,FALSE))</f>
        <v/>
      </c>
      <c r="O56" s="43" t="str">
        <f>IF(ISBLANK(M56), "", M56*VLOOKUP($F56,Internal!$B$26:$C$32,2,FALSE))</f>
        <v/>
      </c>
      <c r="P56" s="42"/>
    </row>
    <row r="57" spans="2:16" ht="9.4" customHeight="1" x14ac:dyDescent="0.35">
      <c r="B57" s="39">
        <v>47</v>
      </c>
      <c r="C57" s="40" t="str">
        <f>IF(ISBLANK(D57), "", _xlfn.CONCAT("T", TEXT(B57, "0000"), "/", VLOOKUP(D57, Internal!$B$35:C$39, 2, FALSE), IF(OR(D57="QA", D57="Revision"), _xlfn.CONCAT("/", H57), "")))</f>
        <v/>
      </c>
      <c r="D57" s="42"/>
      <c r="E57" s="41"/>
      <c r="F57" s="41"/>
      <c r="G57" s="42"/>
      <c r="H57" s="41"/>
      <c r="I57" s="44"/>
      <c r="J57" s="44"/>
      <c r="K57" s="43" t="str">
        <f t="shared" ca="1" si="1"/>
        <v/>
      </c>
      <c r="L57" s="45"/>
      <c r="M57" s="45"/>
      <c r="N57" s="43" t="str">
        <f>IF(ISBLANK(L57), "", L57*VLOOKUP($F57,Internal!$B$26:$C$32,2,FALSE))</f>
        <v/>
      </c>
      <c r="O57" s="43" t="str">
        <f>IF(ISBLANK(M57), "", M57*VLOOKUP($F57,Internal!$B$26:$C$32,2,FALSE))</f>
        <v/>
      </c>
      <c r="P57" s="42"/>
    </row>
    <row r="58" spans="2:16" ht="9.4" customHeight="1" x14ac:dyDescent="0.35">
      <c r="B58" s="39">
        <v>48</v>
      </c>
      <c r="C58" s="40" t="str">
        <f>IF(ISBLANK(D58), "", _xlfn.CONCAT("T", TEXT(B58, "0000"), "/", VLOOKUP(D58, Internal!$B$35:C$39, 2, FALSE), IF(OR(D58="QA", D58="Revision"), _xlfn.CONCAT("/", H58), "")))</f>
        <v/>
      </c>
      <c r="D58" s="42"/>
      <c r="E58" s="41"/>
      <c r="F58" s="41"/>
      <c r="G58" s="42"/>
      <c r="H58" s="41"/>
      <c r="I58" s="44"/>
      <c r="J58" s="44"/>
      <c r="K58" s="43" t="str">
        <f t="shared" ca="1" si="1"/>
        <v/>
      </c>
      <c r="L58" s="45"/>
      <c r="M58" s="45"/>
      <c r="N58" s="43" t="str">
        <f>IF(ISBLANK(L58), "", L58*VLOOKUP($F58,Internal!$B$26:$C$32,2,FALSE))</f>
        <v/>
      </c>
      <c r="O58" s="43" t="str">
        <f>IF(ISBLANK(M58), "", M58*VLOOKUP($F58,Internal!$B$26:$C$32,2,FALSE))</f>
        <v/>
      </c>
      <c r="P58" s="42"/>
    </row>
    <row r="59" spans="2:16" ht="9.4" customHeight="1" x14ac:dyDescent="0.35">
      <c r="B59" s="39">
        <v>49</v>
      </c>
      <c r="C59" s="40" t="str">
        <f>IF(ISBLANK(D59), "", _xlfn.CONCAT("T", TEXT(B59, "0000"), "/", VLOOKUP(D59, Internal!$B$35:C$39, 2, FALSE), IF(OR(D59="QA", D59="Revision"), _xlfn.CONCAT("/", H59), "")))</f>
        <v/>
      </c>
      <c r="D59" s="42"/>
      <c r="E59" s="41"/>
      <c r="F59" s="41"/>
      <c r="G59" s="42"/>
      <c r="H59" s="41"/>
      <c r="I59" s="44"/>
      <c r="J59" s="44"/>
      <c r="K59" s="43" t="str">
        <f t="shared" ca="1" si="1"/>
        <v/>
      </c>
      <c r="L59" s="45"/>
      <c r="M59" s="45"/>
      <c r="N59" s="43" t="str">
        <f>IF(ISBLANK(L59), "", L59*VLOOKUP($F59,Internal!$B$26:$C$32,2,FALSE))</f>
        <v/>
      </c>
      <c r="O59" s="43" t="str">
        <f>IF(ISBLANK(M59), "", M59*VLOOKUP($F59,Internal!$B$26:$C$32,2,FALSE))</f>
        <v/>
      </c>
      <c r="P59" s="42"/>
    </row>
    <row r="60" spans="2:16" ht="9.4" customHeight="1" x14ac:dyDescent="0.35">
      <c r="B60" s="39">
        <v>50</v>
      </c>
      <c r="C60" s="40" t="str">
        <f>IF(ISBLANK(D60), "", _xlfn.CONCAT("T", TEXT(B60, "0000"), "/", VLOOKUP(D60, Internal!$B$35:C$39, 2, FALSE), IF(OR(D60="QA", D60="Revision"), _xlfn.CONCAT("/", H60), "")))</f>
        <v/>
      </c>
      <c r="D60" s="42"/>
      <c r="E60" s="41"/>
      <c r="F60" s="41"/>
      <c r="G60" s="42"/>
      <c r="H60" s="41"/>
      <c r="I60" s="44"/>
      <c r="J60" s="44"/>
      <c r="K60" s="43" t="str">
        <f t="shared" ca="1" si="1"/>
        <v/>
      </c>
      <c r="L60" s="45"/>
      <c r="M60" s="45"/>
      <c r="N60" s="43" t="str">
        <f>IF(ISBLANK(L60), "", L60*VLOOKUP($F60,Internal!$B$26:$C$32,2,FALSE))</f>
        <v/>
      </c>
      <c r="O60" s="43" t="str">
        <f>IF(ISBLANK(M60), "", M60*VLOOKUP($F60,Internal!$B$26:$C$32,2,FALSE))</f>
        <v/>
      </c>
      <c r="P60" s="42"/>
    </row>
    <row r="61" spans="2:16" ht="9.4" customHeight="1" x14ac:dyDescent="0.35">
      <c r="B61" s="39">
        <v>51</v>
      </c>
      <c r="C61" s="40" t="str">
        <f>IF(ISBLANK(D61), "", _xlfn.CONCAT("T", TEXT(B61, "0000"), "/", VLOOKUP(D61, Internal!$B$35:C$39, 2, FALSE), IF(OR(D61="QA", D61="Revision"), _xlfn.CONCAT("/", H61), "")))</f>
        <v/>
      </c>
      <c r="D61" s="42"/>
      <c r="E61" s="41"/>
      <c r="F61" s="41"/>
      <c r="G61" s="42"/>
      <c r="H61" s="41"/>
      <c r="I61" s="44"/>
      <c r="J61" s="44"/>
      <c r="K61" s="43" t="str">
        <f t="shared" ca="1" si="1"/>
        <v/>
      </c>
      <c r="L61" s="45"/>
      <c r="M61" s="45"/>
      <c r="N61" s="43" t="str">
        <f>IF(ISBLANK(L61), "", L61*VLOOKUP($F61,Internal!$B$26:$C$32,2,FALSE))</f>
        <v/>
      </c>
      <c r="O61" s="43" t="str">
        <f>IF(ISBLANK(M61), "", M61*VLOOKUP($F61,Internal!$B$26:$C$32,2,FALSE))</f>
        <v/>
      </c>
      <c r="P61" s="42"/>
    </row>
    <row r="62" spans="2:16" ht="9.4" customHeight="1" x14ac:dyDescent="0.35">
      <c r="B62" s="39">
        <v>52</v>
      </c>
      <c r="C62" s="40" t="str">
        <f>IF(ISBLANK(D62), "", _xlfn.CONCAT("T", TEXT(B62, "0000"), "/", VLOOKUP(D62, Internal!$B$35:C$39, 2, FALSE), IF(OR(D62="QA", D62="Revision"), _xlfn.CONCAT("/", H62), "")))</f>
        <v/>
      </c>
      <c r="D62" s="42"/>
      <c r="E62" s="41"/>
      <c r="F62" s="41"/>
      <c r="G62" s="42"/>
      <c r="H62" s="41"/>
      <c r="I62" s="44"/>
      <c r="J62" s="44"/>
      <c r="K62" s="43" t="str">
        <f t="shared" ca="1" si="1"/>
        <v/>
      </c>
      <c r="L62" s="45"/>
      <c r="M62" s="45"/>
      <c r="N62" s="43" t="str">
        <f>IF(ISBLANK(L62), "", L62*VLOOKUP($F62,Internal!$B$26:$C$32,2,FALSE))</f>
        <v/>
      </c>
      <c r="O62" s="43" t="str">
        <f>IF(ISBLANK(M62), "", M62*VLOOKUP($F62,Internal!$B$26:$C$32,2,FALSE))</f>
        <v/>
      </c>
      <c r="P62" s="42"/>
    </row>
    <row r="63" spans="2:16" ht="9.4" customHeight="1" x14ac:dyDescent="0.35">
      <c r="B63" s="39">
        <v>53</v>
      </c>
      <c r="C63" s="40" t="str">
        <f>IF(ISBLANK(D63), "", _xlfn.CONCAT("T", TEXT(B63, "0000"), "/", VLOOKUP(D63, Internal!$B$35:C$39, 2, FALSE), IF(OR(D63="QA", D63="Revision"), _xlfn.CONCAT("/", H63), "")))</f>
        <v/>
      </c>
      <c r="D63" s="42"/>
      <c r="E63" s="41"/>
      <c r="F63" s="41"/>
      <c r="G63" s="42"/>
      <c r="H63" s="41"/>
      <c r="I63" s="44"/>
      <c r="J63" s="44"/>
      <c r="K63" s="43" t="str">
        <f t="shared" ca="1" si="1"/>
        <v/>
      </c>
      <c r="L63" s="45"/>
      <c r="M63" s="45"/>
      <c r="N63" s="43" t="str">
        <f>IF(ISBLANK(L63), "", L63*VLOOKUP($F63,Internal!$B$26:$C$32,2,FALSE))</f>
        <v/>
      </c>
      <c r="O63" s="43" t="str">
        <f>IF(ISBLANK(M63), "", M63*VLOOKUP($F63,Internal!$B$26:$C$32,2,FALSE))</f>
        <v/>
      </c>
      <c r="P63" s="42"/>
    </row>
    <row r="64" spans="2:16" ht="9.4" customHeight="1" x14ac:dyDescent="0.35">
      <c r="B64" s="39">
        <v>54</v>
      </c>
      <c r="C64" s="40" t="str">
        <f>IF(ISBLANK(D64), "", _xlfn.CONCAT("T", TEXT(B64, "0000"), "/", VLOOKUP(D64, Internal!$B$35:C$39, 2, FALSE), IF(OR(D64="QA", D64="Revision"), _xlfn.CONCAT("/", H64), "")))</f>
        <v/>
      </c>
      <c r="D64" s="42"/>
      <c r="E64" s="41"/>
      <c r="F64" s="41"/>
      <c r="G64" s="42"/>
      <c r="H64" s="41"/>
      <c r="I64" s="44"/>
      <c r="J64" s="44"/>
      <c r="K64" s="43" t="str">
        <f t="shared" ca="1" si="1"/>
        <v/>
      </c>
      <c r="L64" s="45"/>
      <c r="M64" s="45"/>
      <c r="N64" s="43" t="str">
        <f>IF(ISBLANK(L64), "", L64*VLOOKUP($F64,Internal!$B$26:$C$32,2,FALSE))</f>
        <v/>
      </c>
      <c r="O64" s="43" t="str">
        <f>IF(ISBLANK(M64), "", M64*VLOOKUP($F64,Internal!$B$26:$C$32,2,FALSE))</f>
        <v/>
      </c>
      <c r="P64" s="42"/>
    </row>
    <row r="65" spans="2:16" ht="9.4" customHeight="1" x14ac:dyDescent="0.35">
      <c r="B65" s="39">
        <v>55</v>
      </c>
      <c r="C65" s="40" t="str">
        <f>IF(ISBLANK(D65), "", _xlfn.CONCAT("T", TEXT(B65, "0000"), "/", VLOOKUP(D65, Internal!$B$35:C$39, 2, FALSE), IF(OR(D65="QA", D65="Revision"), _xlfn.CONCAT("/", H65), "")))</f>
        <v/>
      </c>
      <c r="D65" s="42"/>
      <c r="E65" s="41"/>
      <c r="F65" s="41"/>
      <c r="G65" s="42"/>
      <c r="H65" s="41"/>
      <c r="I65" s="44"/>
      <c r="J65" s="44"/>
      <c r="K65" s="43" t="str">
        <f t="shared" ca="1" si="1"/>
        <v/>
      </c>
      <c r="L65" s="45"/>
      <c r="M65" s="45"/>
      <c r="N65" s="43" t="str">
        <f>IF(ISBLANK(L65), "", L65*VLOOKUP($F65,Internal!$B$26:$C$32,2,FALSE))</f>
        <v/>
      </c>
      <c r="O65" s="43" t="str">
        <f>IF(ISBLANK(M65), "", M65*VLOOKUP($F65,Internal!$B$26:$C$32,2,FALSE))</f>
        <v/>
      </c>
      <c r="P65" s="42"/>
    </row>
    <row r="66" spans="2:16" ht="9.4" customHeight="1" x14ac:dyDescent="0.35">
      <c r="B66" s="39">
        <v>56</v>
      </c>
      <c r="C66" s="40" t="str">
        <f>IF(ISBLANK(D66), "", _xlfn.CONCAT("T", TEXT(B66, "0000"), "/", VLOOKUP(D66, Internal!$B$35:C$39, 2, FALSE), IF(OR(D66="QA", D66="Revision"), _xlfn.CONCAT("/", H66), "")))</f>
        <v/>
      </c>
      <c r="D66" s="42"/>
      <c r="E66" s="41"/>
      <c r="F66" s="41"/>
      <c r="G66" s="42"/>
      <c r="H66" s="41"/>
      <c r="I66" s="44"/>
      <c r="J66" s="44"/>
      <c r="K66" s="43" t="str">
        <f t="shared" ca="1" si="1"/>
        <v/>
      </c>
      <c r="L66" s="45"/>
      <c r="M66" s="45"/>
      <c r="N66" s="43" t="str">
        <f>IF(ISBLANK(L66), "", L66*VLOOKUP($F66,Internal!$B$26:$C$32,2,FALSE))</f>
        <v/>
      </c>
      <c r="O66" s="43" t="str">
        <f>IF(ISBLANK(M66), "", M66*VLOOKUP($F66,Internal!$B$26:$C$32,2,FALSE))</f>
        <v/>
      </c>
      <c r="P66" s="42"/>
    </row>
    <row r="67" spans="2:16" ht="9.4" customHeight="1" x14ac:dyDescent="0.35">
      <c r="B67" s="39">
        <v>57</v>
      </c>
      <c r="C67" s="40" t="str">
        <f>IF(ISBLANK(D67), "", _xlfn.CONCAT("T", TEXT(B67, "0000"), "/", VLOOKUP(D67, Internal!$B$35:C$39, 2, FALSE), IF(OR(D67="QA", D67="Revision"), _xlfn.CONCAT("/", H67), "")))</f>
        <v/>
      </c>
      <c r="D67" s="42"/>
      <c r="E67" s="41"/>
      <c r="F67" s="41"/>
      <c r="G67" s="42"/>
      <c r="H67" s="41"/>
      <c r="I67" s="44"/>
      <c r="J67" s="44"/>
      <c r="K67" s="43" t="str">
        <f t="shared" ca="1" si="1"/>
        <v/>
      </c>
      <c r="L67" s="45"/>
      <c r="M67" s="45"/>
      <c r="N67" s="43" t="str">
        <f>IF(ISBLANK(L67), "", L67*VLOOKUP($F67,Internal!$B$26:$C$32,2,FALSE))</f>
        <v/>
      </c>
      <c r="O67" s="43" t="str">
        <f>IF(ISBLANK(M67), "", M67*VLOOKUP($F67,Internal!$B$26:$C$32,2,FALSE))</f>
        <v/>
      </c>
      <c r="P67" s="42"/>
    </row>
    <row r="68" spans="2:16" ht="9.4" customHeight="1" x14ac:dyDescent="0.35">
      <c r="B68" s="39">
        <v>58</v>
      </c>
      <c r="C68" s="40" t="str">
        <f>IF(ISBLANK(D68), "", _xlfn.CONCAT("T", TEXT(B68, "0000"), "/", VLOOKUP(D68, Internal!$B$35:C$39, 2, FALSE), IF(OR(D68="QA", D68="Revision"), _xlfn.CONCAT("/", H68), "")))</f>
        <v/>
      </c>
      <c r="D68" s="42"/>
      <c r="E68" s="41"/>
      <c r="F68" s="41"/>
      <c r="G68" s="42"/>
      <c r="H68" s="41"/>
      <c r="I68" s="44"/>
      <c r="J68" s="44"/>
      <c r="K68" s="43" t="str">
        <f t="shared" ca="1" si="1"/>
        <v/>
      </c>
      <c r="L68" s="45"/>
      <c r="M68" s="45"/>
      <c r="N68" s="43" t="str">
        <f>IF(ISBLANK(L68), "", L68*VLOOKUP($F68,Internal!$B$26:$C$32,2,FALSE))</f>
        <v/>
      </c>
      <c r="O68" s="43" t="str">
        <f>IF(ISBLANK(M68), "", M68*VLOOKUP($F68,Internal!$B$26:$C$32,2,FALSE))</f>
        <v/>
      </c>
      <c r="P68" s="42"/>
    </row>
    <row r="69" spans="2:16" ht="9.4" customHeight="1" x14ac:dyDescent="0.35">
      <c r="B69" s="39">
        <v>59</v>
      </c>
      <c r="C69" s="40" t="str">
        <f>IF(ISBLANK(D69), "", _xlfn.CONCAT("T", TEXT(B69, "0000"), "/", VLOOKUP(D69, Internal!$B$35:C$39, 2, FALSE), IF(OR(D69="QA", D69="Revision"), _xlfn.CONCAT("/", H69), "")))</f>
        <v/>
      </c>
      <c r="D69" s="42"/>
      <c r="E69" s="41"/>
      <c r="F69" s="41"/>
      <c r="G69" s="42"/>
      <c r="H69" s="41"/>
      <c r="I69" s="44"/>
      <c r="J69" s="44"/>
      <c r="K69" s="43" t="str">
        <f t="shared" ca="1" si="1"/>
        <v/>
      </c>
      <c r="L69" s="45"/>
      <c r="M69" s="45"/>
      <c r="N69" s="43" t="str">
        <f>IF(ISBLANK(L69), "", L69*VLOOKUP($F69,Internal!$B$26:$C$32,2,FALSE))</f>
        <v/>
      </c>
      <c r="O69" s="43" t="str">
        <f>IF(ISBLANK(M69), "", M69*VLOOKUP($F69,Internal!$B$26:$C$32,2,FALSE))</f>
        <v/>
      </c>
      <c r="P69" s="42"/>
    </row>
    <row r="70" spans="2:16" ht="9.4" customHeight="1" x14ac:dyDescent="0.35">
      <c r="B70" s="39">
        <v>60</v>
      </c>
      <c r="C70" s="40" t="str">
        <f>IF(ISBLANK(D70), "", _xlfn.CONCAT("T", TEXT(B70, "0000"), "/", VLOOKUP(D70, Internal!$B$35:C$39, 2, FALSE), IF(OR(D70="QA", D70="Revision"), _xlfn.CONCAT("/", H70), "")))</f>
        <v/>
      </c>
      <c r="D70" s="42"/>
      <c r="E70" s="41"/>
      <c r="F70" s="41"/>
      <c r="G70" s="42"/>
      <c r="H70" s="41"/>
      <c r="I70" s="44"/>
      <c r="J70" s="44"/>
      <c r="K70" s="43" t="str">
        <f t="shared" ca="1" si="1"/>
        <v/>
      </c>
      <c r="L70" s="45"/>
      <c r="M70" s="45"/>
      <c r="N70" s="43" t="str">
        <f>IF(ISBLANK(L70), "", L70*VLOOKUP($F70,Internal!$B$26:$C$32,2,FALSE))</f>
        <v/>
      </c>
      <c r="O70" s="43" t="str">
        <f>IF(ISBLANK(M70), "", M70*VLOOKUP($F70,Internal!$B$26:$C$32,2,FALSE))</f>
        <v/>
      </c>
      <c r="P70" s="42"/>
    </row>
    <row r="71" spans="2:16" ht="9.4" customHeight="1" x14ac:dyDescent="0.35">
      <c r="B71" s="39">
        <v>61</v>
      </c>
      <c r="C71" s="40" t="str">
        <f>IF(ISBLANK(D71), "", _xlfn.CONCAT("T", TEXT(B71, "0000"), "/", VLOOKUP(D71, Internal!$B$35:C$39, 2, FALSE), IF(OR(D71="QA", D71="Revision"), _xlfn.CONCAT("/", H71), "")))</f>
        <v/>
      </c>
      <c r="D71" s="42"/>
      <c r="E71" s="41"/>
      <c r="F71" s="41"/>
      <c r="G71" s="42"/>
      <c r="H71" s="41"/>
      <c r="I71" s="44"/>
      <c r="J71" s="44"/>
      <c r="K71" s="43" t="str">
        <f t="shared" ca="1" si="1"/>
        <v/>
      </c>
      <c r="L71" s="45"/>
      <c r="M71" s="45"/>
      <c r="N71" s="43" t="str">
        <f>IF(ISBLANK(L71), "", L71*VLOOKUP($F71,Internal!$B$26:$C$32,2,FALSE))</f>
        <v/>
      </c>
      <c r="O71" s="43" t="str">
        <f>IF(ISBLANK(M71), "", M71*VLOOKUP($F71,Internal!$B$26:$C$32,2,FALSE))</f>
        <v/>
      </c>
      <c r="P71" s="42"/>
    </row>
    <row r="72" spans="2:16" ht="9.4" customHeight="1" x14ac:dyDescent="0.35">
      <c r="B72" s="39">
        <v>62</v>
      </c>
      <c r="C72" s="40" t="str">
        <f>IF(ISBLANK(D72), "", _xlfn.CONCAT("T", TEXT(B72, "0000"), "/", VLOOKUP(D72, Internal!$B$35:C$39, 2, FALSE), IF(OR(D72="QA", D72="Revision"), _xlfn.CONCAT("/", H72), "")))</f>
        <v/>
      </c>
      <c r="D72" s="42"/>
      <c r="E72" s="41"/>
      <c r="F72" s="41"/>
      <c r="G72" s="42"/>
      <c r="H72" s="41"/>
      <c r="I72" s="44"/>
      <c r="J72" s="44"/>
      <c r="K72" s="43" t="str">
        <f t="shared" ca="1" si="1"/>
        <v/>
      </c>
      <c r="L72" s="45"/>
      <c r="M72" s="45"/>
      <c r="N72" s="43" t="str">
        <f>IF(ISBLANK(L72), "", L72*VLOOKUP($F72,Internal!$B$26:$C$32,2,FALSE))</f>
        <v/>
      </c>
      <c r="O72" s="43" t="str">
        <f>IF(ISBLANK(M72), "", M72*VLOOKUP($F72,Internal!$B$26:$C$32,2,FALSE))</f>
        <v/>
      </c>
      <c r="P72" s="42"/>
    </row>
    <row r="73" spans="2:16" ht="9.4" customHeight="1" x14ac:dyDescent="0.35">
      <c r="B73" s="39">
        <v>63</v>
      </c>
      <c r="C73" s="40" t="str">
        <f>IF(ISBLANK(D73), "", _xlfn.CONCAT("T", TEXT(B73, "0000"), "/", VLOOKUP(D73, Internal!$B$35:C$39, 2, FALSE), IF(OR(D73="QA", D73="Revision"), _xlfn.CONCAT("/", H73), "")))</f>
        <v/>
      </c>
      <c r="D73" s="42"/>
      <c r="E73" s="41"/>
      <c r="F73" s="41"/>
      <c r="G73" s="42"/>
      <c r="H73" s="41"/>
      <c r="I73" s="44"/>
      <c r="J73" s="44"/>
      <c r="K73" s="43" t="str">
        <f t="shared" ca="1" si="1"/>
        <v/>
      </c>
      <c r="L73" s="45"/>
      <c r="M73" s="45"/>
      <c r="N73" s="43" t="str">
        <f>IF(ISBLANK(L73), "", L73*VLOOKUP($F73,Internal!$B$26:$C$32,2,FALSE))</f>
        <v/>
      </c>
      <c r="O73" s="43" t="str">
        <f>IF(ISBLANK(M73), "", M73*VLOOKUP($F73,Internal!$B$26:$C$32,2,FALSE))</f>
        <v/>
      </c>
      <c r="P73" s="42"/>
    </row>
    <row r="74" spans="2:16" ht="9.4" customHeight="1" x14ac:dyDescent="0.35">
      <c r="B74" s="39">
        <v>64</v>
      </c>
      <c r="C74" s="40" t="str">
        <f>IF(ISBLANK(D74), "", _xlfn.CONCAT("T", TEXT(B74, "0000"), "/", VLOOKUP(D74, Internal!$B$35:C$39, 2, FALSE), IF(OR(D74="QA", D74="Revision"), _xlfn.CONCAT("/", H74), "")))</f>
        <v/>
      </c>
      <c r="D74" s="42"/>
      <c r="E74" s="41"/>
      <c r="F74" s="41"/>
      <c r="G74" s="42"/>
      <c r="H74" s="41"/>
      <c r="I74" s="44"/>
      <c r="J74" s="44"/>
      <c r="K74" s="43" t="str">
        <f t="shared" ca="1" si="1"/>
        <v/>
      </c>
      <c r="L74" s="45"/>
      <c r="M74" s="45"/>
      <c r="N74" s="43" t="str">
        <f>IF(ISBLANK(L74), "", L74*VLOOKUP($F74,Internal!$B$26:$C$32,2,FALSE))</f>
        <v/>
      </c>
      <c r="O74" s="43" t="str">
        <f>IF(ISBLANK(M74), "", M74*VLOOKUP($F74,Internal!$B$26:$C$32,2,FALSE))</f>
        <v/>
      </c>
      <c r="P74" s="42"/>
    </row>
    <row r="75" spans="2:16" ht="9.4" customHeight="1" x14ac:dyDescent="0.35">
      <c r="B75" s="39">
        <v>65</v>
      </c>
      <c r="C75" s="40" t="str">
        <f>IF(ISBLANK(D75), "", _xlfn.CONCAT("T", TEXT(B75, "0000"), "/", VLOOKUP(D75, Internal!$B$35:C$39, 2, FALSE), IF(OR(D75="QA", D75="Revision"), _xlfn.CONCAT("/", H75), "")))</f>
        <v/>
      </c>
      <c r="D75" s="42"/>
      <c r="E75" s="41"/>
      <c r="F75" s="41"/>
      <c r="G75" s="42"/>
      <c r="H75" s="41"/>
      <c r="I75" s="44"/>
      <c r="J75" s="44"/>
      <c r="K75" s="43" t="str">
        <f t="shared" ca="1" si="1"/>
        <v/>
      </c>
      <c r="L75" s="45"/>
      <c r="M75" s="45"/>
      <c r="N75" s="43" t="str">
        <f>IF(ISBLANK(L75), "", L75*VLOOKUP($F75,Internal!$B$26:$C$32,2,FALSE))</f>
        <v/>
      </c>
      <c r="O75" s="43" t="str">
        <f>IF(ISBLANK(M75), "", M75*VLOOKUP($F75,Internal!$B$26:$C$32,2,FALSE))</f>
        <v/>
      </c>
      <c r="P75" s="42"/>
    </row>
    <row r="76" spans="2:16" ht="9.4" customHeight="1" x14ac:dyDescent="0.35">
      <c r="B76" s="39">
        <v>66</v>
      </c>
      <c r="C76" s="40" t="str">
        <f>IF(ISBLANK(D76), "", _xlfn.CONCAT("T", TEXT(B76, "0000"), "/", VLOOKUP(D76, Internal!$B$35:C$39, 2, FALSE), IF(OR(D76="QA", D76="Revision"), _xlfn.CONCAT("/", H76), "")))</f>
        <v/>
      </c>
      <c r="D76" s="42"/>
      <c r="E76" s="41"/>
      <c r="F76" s="41"/>
      <c r="G76" s="42"/>
      <c r="H76" s="41"/>
      <c r="I76" s="44"/>
      <c r="J76" s="44"/>
      <c r="K76" s="43" t="str">
        <f t="shared" ca="1" si="1"/>
        <v/>
      </c>
      <c r="L76" s="45"/>
      <c r="M76" s="45"/>
      <c r="N76" s="43" t="str">
        <f>IF(ISBLANK(L76), "", L76*VLOOKUP($F76,Internal!$B$26:$C$32,2,FALSE))</f>
        <v/>
      </c>
      <c r="O76" s="43" t="str">
        <f>IF(ISBLANK(M76), "", M76*VLOOKUP($F76,Internal!$B$26:$C$32,2,FALSE))</f>
        <v/>
      </c>
      <c r="P76" s="42"/>
    </row>
    <row r="77" spans="2:16" ht="9.4" customHeight="1" x14ac:dyDescent="0.35">
      <c r="B77" s="39">
        <v>67</v>
      </c>
      <c r="C77" s="40" t="str">
        <f>IF(ISBLANK(D77), "", _xlfn.CONCAT("T", TEXT(B77, "0000"), "/", VLOOKUP(D77, Internal!$B$35:C$39, 2, FALSE), IF(OR(D77="QA", D77="Revision"), _xlfn.CONCAT("/", H77), "")))</f>
        <v/>
      </c>
      <c r="D77" s="42"/>
      <c r="E77" s="41"/>
      <c r="F77" s="41"/>
      <c r="G77" s="42"/>
      <c r="H77" s="41"/>
      <c r="I77" s="44"/>
      <c r="J77" s="44"/>
      <c r="K77" s="43" t="str">
        <f t="shared" ca="1" si="1"/>
        <v/>
      </c>
      <c r="L77" s="45"/>
      <c r="M77" s="45"/>
      <c r="N77" s="43" t="str">
        <f>IF(ISBLANK(L77), "", L77*VLOOKUP($F77,Internal!$B$26:$C$32,2,FALSE))</f>
        <v/>
      </c>
      <c r="O77" s="43" t="str">
        <f>IF(ISBLANK(M77), "", M77*VLOOKUP($F77,Internal!$B$26:$C$32,2,FALSE))</f>
        <v/>
      </c>
      <c r="P77" s="42"/>
    </row>
    <row r="78" spans="2:16" ht="9.4" customHeight="1" x14ac:dyDescent="0.35">
      <c r="B78" s="39">
        <v>68</v>
      </c>
      <c r="C78" s="40" t="str">
        <f>IF(ISBLANK(D78), "", _xlfn.CONCAT("T", TEXT(B78, "0000"), "/", VLOOKUP(D78, Internal!$B$35:C$39, 2, FALSE), IF(OR(D78="QA", D78="Revision"), _xlfn.CONCAT("/", H78), "")))</f>
        <v/>
      </c>
      <c r="D78" s="42"/>
      <c r="E78" s="41"/>
      <c r="F78" s="41"/>
      <c r="G78" s="42"/>
      <c r="H78" s="41"/>
      <c r="I78" s="44"/>
      <c r="J78" s="44"/>
      <c r="K78" s="43" t="str">
        <f t="shared" ca="1" si="1"/>
        <v/>
      </c>
      <c r="L78" s="45"/>
      <c r="M78" s="45"/>
      <c r="N78" s="43" t="str">
        <f>IF(ISBLANK(L78), "", L78*VLOOKUP($F78,Internal!$B$26:$C$32,2,FALSE))</f>
        <v/>
      </c>
      <c r="O78" s="43" t="str">
        <f>IF(ISBLANK(M78), "", M78*VLOOKUP($F78,Internal!$B$26:$C$32,2,FALSE))</f>
        <v/>
      </c>
      <c r="P78" s="42"/>
    </row>
    <row r="79" spans="2:16" ht="9.4" customHeight="1" x14ac:dyDescent="0.35">
      <c r="B79" s="39">
        <v>69</v>
      </c>
      <c r="C79" s="40" t="str">
        <f>IF(ISBLANK(D79), "", _xlfn.CONCAT("T", TEXT(B79, "0000"), "/", VLOOKUP(D79, Internal!$B$35:C$39, 2, FALSE), IF(OR(D79="QA", D79="Revision"), _xlfn.CONCAT("/", H79), "")))</f>
        <v/>
      </c>
      <c r="D79" s="42"/>
      <c r="E79" s="41"/>
      <c r="F79" s="41"/>
      <c r="G79" s="42"/>
      <c r="H79" s="41"/>
      <c r="I79" s="44"/>
      <c r="J79" s="44"/>
      <c r="K79" s="43" t="str">
        <f t="shared" ca="1" si="1"/>
        <v/>
      </c>
      <c r="L79" s="45"/>
      <c r="M79" s="45"/>
      <c r="N79" s="43" t="str">
        <f>IF(ISBLANK(L79), "", L79*VLOOKUP($F79,Internal!$B$26:$C$32,2,FALSE))</f>
        <v/>
      </c>
      <c r="O79" s="43" t="str">
        <f>IF(ISBLANK(M79), "", M79*VLOOKUP($F79,Internal!$B$26:$C$32,2,FALSE))</f>
        <v/>
      </c>
      <c r="P79" s="42"/>
    </row>
    <row r="80" spans="2:16" ht="9.4" customHeight="1" x14ac:dyDescent="0.35">
      <c r="B80" s="39">
        <v>70</v>
      </c>
      <c r="C80" s="40" t="str">
        <f>IF(ISBLANK(D80), "", _xlfn.CONCAT("T", TEXT(B80, "0000"), "/", VLOOKUP(D80, Internal!$B$35:C$39, 2, FALSE), IF(OR(D80="QA", D80="Revision"), _xlfn.CONCAT("/", H80), "")))</f>
        <v/>
      </c>
      <c r="D80" s="42"/>
      <c r="E80" s="41"/>
      <c r="F80" s="41"/>
      <c r="G80" s="42"/>
      <c r="H80" s="41"/>
      <c r="I80" s="44"/>
      <c r="J80" s="44"/>
      <c r="K80" s="43" t="str">
        <f t="shared" ref="K80:K111" ca="1" si="2">IF(OR(I80="",J80=""),"",IF(AND(J80&lt;&gt;"",I80&gt;=NOW()),"Planned",IF(AND(J80&lt;&gt;"",J80&lt;NOW()),"Completed","Ongoing")))</f>
        <v/>
      </c>
      <c r="L80" s="45"/>
      <c r="M80" s="45"/>
      <c r="N80" s="43" t="str">
        <f>IF(ISBLANK(L80), "", L80*VLOOKUP($F80,Internal!$B$26:$C$32,2,FALSE))</f>
        <v/>
      </c>
      <c r="O80" s="43" t="str">
        <f>IF(ISBLANK(M80), "", M80*VLOOKUP($F80,Internal!$B$26:$C$32,2,FALSE))</f>
        <v/>
      </c>
      <c r="P80" s="42"/>
    </row>
    <row r="81" spans="2:16" ht="9.4" customHeight="1" x14ac:dyDescent="0.35">
      <c r="B81" s="39">
        <v>71</v>
      </c>
      <c r="C81" s="40" t="str">
        <f>IF(ISBLANK(D81), "", _xlfn.CONCAT("T", TEXT(B81, "0000"), "/", VLOOKUP(D81, Internal!$B$35:C$39, 2, FALSE), IF(OR(D81="QA", D81="Revision"), _xlfn.CONCAT("/", H81), "")))</f>
        <v/>
      </c>
      <c r="D81" s="42"/>
      <c r="E81" s="41"/>
      <c r="F81" s="41"/>
      <c r="G81" s="42"/>
      <c r="H81" s="41"/>
      <c r="I81" s="44"/>
      <c r="J81" s="44"/>
      <c r="K81" s="43" t="str">
        <f t="shared" ca="1" si="2"/>
        <v/>
      </c>
      <c r="L81" s="45"/>
      <c r="M81" s="45"/>
      <c r="N81" s="43" t="str">
        <f>IF(ISBLANK(L81), "", L81*VLOOKUP($F81,Internal!$B$26:$C$32,2,FALSE))</f>
        <v/>
      </c>
      <c r="O81" s="43" t="str">
        <f>IF(ISBLANK(M81), "", M81*VLOOKUP($F81,Internal!$B$26:$C$32,2,FALSE))</f>
        <v/>
      </c>
      <c r="P81" s="42"/>
    </row>
    <row r="82" spans="2:16" ht="9.4" customHeight="1" x14ac:dyDescent="0.35">
      <c r="B82" s="39">
        <v>72</v>
      </c>
      <c r="C82" s="40" t="str">
        <f>IF(ISBLANK(D82), "", _xlfn.CONCAT("T", TEXT(B82, "0000"), "/", VLOOKUP(D82, Internal!$B$35:C$39, 2, FALSE), IF(OR(D82="QA", D82="Revision"), _xlfn.CONCAT("/", H82), "")))</f>
        <v/>
      </c>
      <c r="D82" s="42"/>
      <c r="E82" s="41"/>
      <c r="F82" s="41"/>
      <c r="G82" s="42"/>
      <c r="H82" s="41"/>
      <c r="I82" s="44"/>
      <c r="J82" s="44"/>
      <c r="K82" s="43" t="str">
        <f t="shared" ca="1" si="2"/>
        <v/>
      </c>
      <c r="L82" s="45"/>
      <c r="M82" s="45"/>
      <c r="N82" s="43" t="str">
        <f>IF(ISBLANK(L82), "", L82*VLOOKUP($F82,Internal!$B$26:$C$32,2,FALSE))</f>
        <v/>
      </c>
      <c r="O82" s="43" t="str">
        <f>IF(ISBLANK(M82), "", M82*VLOOKUP($F82,Internal!$B$26:$C$32,2,FALSE))</f>
        <v/>
      </c>
      <c r="P82" s="42"/>
    </row>
    <row r="83" spans="2:16" ht="9.4" customHeight="1" x14ac:dyDescent="0.35">
      <c r="B83" s="39">
        <v>73</v>
      </c>
      <c r="C83" s="40" t="str">
        <f>IF(ISBLANK(D83), "", _xlfn.CONCAT("T", TEXT(B83, "0000"), "/", VLOOKUP(D83, Internal!$B$35:C$39, 2, FALSE), IF(OR(D83="QA", D83="Revision"), _xlfn.CONCAT("/", H83), "")))</f>
        <v/>
      </c>
      <c r="D83" s="42"/>
      <c r="E83" s="41"/>
      <c r="F83" s="41"/>
      <c r="G83" s="42"/>
      <c r="H83" s="41"/>
      <c r="I83" s="44"/>
      <c r="J83" s="44"/>
      <c r="K83" s="43" t="str">
        <f t="shared" ca="1" si="2"/>
        <v/>
      </c>
      <c r="L83" s="45"/>
      <c r="M83" s="45"/>
      <c r="N83" s="43" t="str">
        <f>IF(ISBLANK(L83), "", L83*VLOOKUP($F83,Internal!$B$26:$C$32,2,FALSE))</f>
        <v/>
      </c>
      <c r="O83" s="43" t="str">
        <f>IF(ISBLANK(M83), "", M83*VLOOKUP($F83,Internal!$B$26:$C$32,2,FALSE))</f>
        <v/>
      </c>
      <c r="P83" s="42"/>
    </row>
    <row r="84" spans="2:16" ht="9.4" customHeight="1" x14ac:dyDescent="0.35">
      <c r="B84" s="39">
        <v>74</v>
      </c>
      <c r="C84" s="40" t="str">
        <f>IF(ISBLANK(D84), "", _xlfn.CONCAT("T", TEXT(B84, "0000"), "/", VLOOKUP(D84, Internal!$B$35:C$39, 2, FALSE), IF(OR(D84="QA", D84="Revision"), _xlfn.CONCAT("/", H84), "")))</f>
        <v/>
      </c>
      <c r="D84" s="42"/>
      <c r="E84" s="41"/>
      <c r="F84" s="41"/>
      <c r="G84" s="42"/>
      <c r="H84" s="41"/>
      <c r="I84" s="44"/>
      <c r="J84" s="44"/>
      <c r="K84" s="43" t="str">
        <f t="shared" ca="1" si="2"/>
        <v/>
      </c>
      <c r="L84" s="45"/>
      <c r="M84" s="45"/>
      <c r="N84" s="43" t="str">
        <f>IF(ISBLANK(L84), "", L84*VLOOKUP($F84,Internal!$B$26:$C$32,2,FALSE))</f>
        <v/>
      </c>
      <c r="O84" s="43" t="str">
        <f>IF(ISBLANK(M84), "", M84*VLOOKUP($F84,Internal!$B$26:$C$32,2,FALSE))</f>
        <v/>
      </c>
      <c r="P84" s="42"/>
    </row>
    <row r="85" spans="2:16" ht="9.4" customHeight="1" x14ac:dyDescent="0.35">
      <c r="B85" s="39">
        <v>75</v>
      </c>
      <c r="C85" s="40" t="str">
        <f>IF(ISBLANK(D85), "", _xlfn.CONCAT("T", TEXT(B85, "0000"), "/", VLOOKUP(D85, Internal!$B$35:C$39, 2, FALSE), IF(OR(D85="QA", D85="Revision"), _xlfn.CONCAT("/", H85), "")))</f>
        <v/>
      </c>
      <c r="D85" s="42"/>
      <c r="E85" s="41"/>
      <c r="F85" s="41"/>
      <c r="G85" s="42"/>
      <c r="H85" s="41"/>
      <c r="I85" s="44"/>
      <c r="J85" s="44"/>
      <c r="K85" s="43" t="str">
        <f t="shared" ca="1" si="2"/>
        <v/>
      </c>
      <c r="L85" s="45"/>
      <c r="M85" s="45"/>
      <c r="N85" s="43" t="str">
        <f>IF(ISBLANK(L85), "", L85*VLOOKUP($F85,Internal!$B$26:$C$32,2,FALSE))</f>
        <v/>
      </c>
      <c r="O85" s="43" t="str">
        <f>IF(ISBLANK(M85), "", M85*VLOOKUP($F85,Internal!$B$26:$C$32,2,FALSE))</f>
        <v/>
      </c>
      <c r="P85" s="42"/>
    </row>
    <row r="86" spans="2:16" ht="9.4" customHeight="1" x14ac:dyDescent="0.35">
      <c r="B86" s="39">
        <v>76</v>
      </c>
      <c r="C86" s="40" t="str">
        <f>IF(ISBLANK(D86), "", _xlfn.CONCAT("T", TEXT(B86, "0000"), "/", VLOOKUP(D86, Internal!$B$35:C$39, 2, FALSE), IF(OR(D86="QA", D86="Revision"), _xlfn.CONCAT("/", H86), "")))</f>
        <v/>
      </c>
      <c r="D86" s="42"/>
      <c r="E86" s="41"/>
      <c r="F86" s="41"/>
      <c r="G86" s="42"/>
      <c r="H86" s="41"/>
      <c r="I86" s="44"/>
      <c r="J86" s="44"/>
      <c r="K86" s="43" t="str">
        <f t="shared" ca="1" si="2"/>
        <v/>
      </c>
      <c r="L86" s="45"/>
      <c r="M86" s="45"/>
      <c r="N86" s="43" t="str">
        <f>IF(ISBLANK(L86), "", L86*VLOOKUP($F86,Internal!$B$26:$C$32,2,FALSE))</f>
        <v/>
      </c>
      <c r="O86" s="43" t="str">
        <f>IF(ISBLANK(M86), "", M86*VLOOKUP($F86,Internal!$B$26:$C$32,2,FALSE))</f>
        <v/>
      </c>
      <c r="P86" s="42"/>
    </row>
    <row r="87" spans="2:16" ht="9.4" customHeight="1" x14ac:dyDescent="0.35">
      <c r="B87" s="39">
        <v>77</v>
      </c>
      <c r="C87" s="40" t="str">
        <f>IF(ISBLANK(D87), "", _xlfn.CONCAT("T", TEXT(B87, "0000"), "/", VLOOKUP(D87, Internal!$B$35:C$39, 2, FALSE), IF(OR(D87="QA", D87="Revision"), _xlfn.CONCAT("/", H87), "")))</f>
        <v/>
      </c>
      <c r="D87" s="42"/>
      <c r="E87" s="41"/>
      <c r="F87" s="41"/>
      <c r="G87" s="42"/>
      <c r="H87" s="41"/>
      <c r="I87" s="44"/>
      <c r="J87" s="44"/>
      <c r="K87" s="43" t="str">
        <f t="shared" ca="1" si="2"/>
        <v/>
      </c>
      <c r="L87" s="45"/>
      <c r="M87" s="45"/>
      <c r="N87" s="43" t="str">
        <f>IF(ISBLANK(L87), "", L87*VLOOKUP($F87,Internal!$B$26:$C$32,2,FALSE))</f>
        <v/>
      </c>
      <c r="O87" s="43" t="str">
        <f>IF(ISBLANK(M87), "", M87*VLOOKUP($F87,Internal!$B$26:$C$32,2,FALSE))</f>
        <v/>
      </c>
      <c r="P87" s="42"/>
    </row>
    <row r="88" spans="2:16" ht="9.4" customHeight="1" x14ac:dyDescent="0.35">
      <c r="B88" s="39">
        <v>78</v>
      </c>
      <c r="C88" s="40" t="str">
        <f>IF(ISBLANK(D88), "", _xlfn.CONCAT("T", TEXT(B88, "0000"), "/", VLOOKUP(D88, Internal!$B$35:C$39, 2, FALSE), IF(OR(D88="QA", D88="Revision"), _xlfn.CONCAT("/", H88), "")))</f>
        <v/>
      </c>
      <c r="D88" s="42"/>
      <c r="E88" s="41"/>
      <c r="F88" s="41"/>
      <c r="G88" s="42"/>
      <c r="H88" s="41"/>
      <c r="I88" s="44"/>
      <c r="J88" s="44"/>
      <c r="K88" s="43" t="str">
        <f t="shared" ca="1" si="2"/>
        <v/>
      </c>
      <c r="L88" s="45"/>
      <c r="M88" s="45"/>
      <c r="N88" s="43" t="str">
        <f>IF(ISBLANK(L88), "", L88*VLOOKUP($F88,Internal!$B$26:$C$32,2,FALSE))</f>
        <v/>
      </c>
      <c r="O88" s="43" t="str">
        <f>IF(ISBLANK(M88), "", M88*VLOOKUP($F88,Internal!$B$26:$C$32,2,FALSE))</f>
        <v/>
      </c>
      <c r="P88" s="42"/>
    </row>
    <row r="89" spans="2:16" ht="9.4" customHeight="1" x14ac:dyDescent="0.35">
      <c r="B89" s="39">
        <v>79</v>
      </c>
      <c r="C89" s="40" t="str">
        <f>IF(ISBLANK(D89), "", _xlfn.CONCAT("T", TEXT(B89, "0000"), "/", VLOOKUP(D89, Internal!$B$35:C$39, 2, FALSE), IF(OR(D89="QA", D89="Revision"), _xlfn.CONCAT("/", H89), "")))</f>
        <v/>
      </c>
      <c r="D89" s="42"/>
      <c r="E89" s="41"/>
      <c r="F89" s="41"/>
      <c r="G89" s="42"/>
      <c r="H89" s="41"/>
      <c r="I89" s="44"/>
      <c r="J89" s="44"/>
      <c r="K89" s="43" t="str">
        <f t="shared" ca="1" si="2"/>
        <v/>
      </c>
      <c r="L89" s="45"/>
      <c r="M89" s="45"/>
      <c r="N89" s="43" t="str">
        <f>IF(ISBLANK(L89), "", L89*VLOOKUP($F89,Internal!$B$26:$C$32,2,FALSE))</f>
        <v/>
      </c>
      <c r="O89" s="43" t="str">
        <f>IF(ISBLANK(M89), "", M89*VLOOKUP($F89,Internal!$B$26:$C$32,2,FALSE))</f>
        <v/>
      </c>
      <c r="P89" s="42"/>
    </row>
    <row r="90" spans="2:16" ht="9.4" customHeight="1" x14ac:dyDescent="0.35">
      <c r="B90" s="39">
        <v>80</v>
      </c>
      <c r="C90" s="40" t="str">
        <f>IF(ISBLANK(D90), "", _xlfn.CONCAT("T", TEXT(B90, "0000"), "/", VLOOKUP(D90, Internal!$B$35:C$39, 2, FALSE), IF(OR(D90="QA", D90="Revision"), _xlfn.CONCAT("/", H90), "")))</f>
        <v/>
      </c>
      <c r="D90" s="42"/>
      <c r="E90" s="41"/>
      <c r="F90" s="41"/>
      <c r="G90" s="42"/>
      <c r="H90" s="41"/>
      <c r="I90" s="44"/>
      <c r="J90" s="44"/>
      <c r="K90" s="43" t="str">
        <f t="shared" ca="1" si="2"/>
        <v/>
      </c>
      <c r="L90" s="45"/>
      <c r="M90" s="45"/>
      <c r="N90" s="43" t="str">
        <f>IF(ISBLANK(L90), "", L90*VLOOKUP($F90,Internal!$B$26:$C$32,2,FALSE))</f>
        <v/>
      </c>
      <c r="O90" s="43" t="str">
        <f>IF(ISBLANK(M90), "", M90*VLOOKUP($F90,Internal!$B$26:$C$32,2,FALSE))</f>
        <v/>
      </c>
      <c r="P90" s="42"/>
    </row>
    <row r="91" spans="2:16" ht="9.4" customHeight="1" x14ac:dyDescent="0.35">
      <c r="B91" s="39">
        <v>81</v>
      </c>
      <c r="C91" s="40" t="str">
        <f>IF(ISBLANK(D91), "", _xlfn.CONCAT("T", TEXT(B91, "0000"), "/", VLOOKUP(D91, Internal!$B$35:C$39, 2, FALSE), IF(OR(D91="QA", D91="Revision"), _xlfn.CONCAT("/", H91), "")))</f>
        <v/>
      </c>
      <c r="D91" s="42"/>
      <c r="E91" s="41"/>
      <c r="F91" s="41"/>
      <c r="G91" s="42"/>
      <c r="H91" s="41"/>
      <c r="I91" s="44"/>
      <c r="J91" s="44"/>
      <c r="K91" s="43" t="str">
        <f t="shared" ca="1" si="2"/>
        <v/>
      </c>
      <c r="L91" s="45"/>
      <c r="M91" s="45"/>
      <c r="N91" s="43" t="str">
        <f>IF(ISBLANK(L91), "", L91*VLOOKUP($F91,Internal!$B$26:$C$32,2,FALSE))</f>
        <v/>
      </c>
      <c r="O91" s="43" t="str">
        <f>IF(ISBLANK(M91), "", M91*VLOOKUP($F91,Internal!$B$26:$C$32,2,FALSE))</f>
        <v/>
      </c>
      <c r="P91" s="42"/>
    </row>
    <row r="92" spans="2:16" ht="9.4" customHeight="1" x14ac:dyDescent="0.35">
      <c r="B92" s="39">
        <v>82</v>
      </c>
      <c r="C92" s="40" t="str">
        <f>IF(ISBLANK(D92), "", _xlfn.CONCAT("T", TEXT(B92, "0000"), "/", VLOOKUP(D92, Internal!$B$35:C$39, 2, FALSE), IF(OR(D92="QA", D92="Revision"), _xlfn.CONCAT("/", H92), "")))</f>
        <v/>
      </c>
      <c r="D92" s="42"/>
      <c r="E92" s="41"/>
      <c r="F92" s="41"/>
      <c r="G92" s="42"/>
      <c r="H92" s="41"/>
      <c r="I92" s="44"/>
      <c r="J92" s="44"/>
      <c r="K92" s="43" t="str">
        <f t="shared" ca="1" si="2"/>
        <v/>
      </c>
      <c r="L92" s="45"/>
      <c r="M92" s="45"/>
      <c r="N92" s="43" t="str">
        <f>IF(ISBLANK(L92), "", L92*VLOOKUP($F92,Internal!$B$26:$C$32,2,FALSE))</f>
        <v/>
      </c>
      <c r="O92" s="43" t="str">
        <f>IF(ISBLANK(M92), "", M92*VLOOKUP($F92,Internal!$B$26:$C$32,2,FALSE))</f>
        <v/>
      </c>
      <c r="P92" s="42"/>
    </row>
    <row r="93" spans="2:16" ht="9.4" customHeight="1" x14ac:dyDescent="0.35">
      <c r="B93" s="39">
        <v>83</v>
      </c>
      <c r="C93" s="40" t="str">
        <f>IF(ISBLANK(D93), "", _xlfn.CONCAT("T", TEXT(B93, "0000"), "/", VLOOKUP(D93, Internal!$B$35:C$39, 2, FALSE), IF(OR(D93="QA", D93="Revision"), _xlfn.CONCAT("/", H93), "")))</f>
        <v/>
      </c>
      <c r="D93" s="42"/>
      <c r="E93" s="41"/>
      <c r="F93" s="41"/>
      <c r="G93" s="42"/>
      <c r="H93" s="41"/>
      <c r="I93" s="44"/>
      <c r="J93" s="44"/>
      <c r="K93" s="43" t="str">
        <f t="shared" ca="1" si="2"/>
        <v/>
      </c>
      <c r="L93" s="45"/>
      <c r="M93" s="45"/>
      <c r="N93" s="43" t="str">
        <f>IF(ISBLANK(L93), "", L93*VLOOKUP($F93,Internal!$B$26:$C$32,2,FALSE))</f>
        <v/>
      </c>
      <c r="O93" s="43" t="str">
        <f>IF(ISBLANK(M93), "", M93*VLOOKUP($F93,Internal!$B$26:$C$32,2,FALSE))</f>
        <v/>
      </c>
      <c r="P93" s="42"/>
    </row>
    <row r="94" spans="2:16" ht="9.4" customHeight="1" x14ac:dyDescent="0.35">
      <c r="B94" s="39">
        <v>84</v>
      </c>
      <c r="C94" s="40" t="str">
        <f>IF(ISBLANK(D94), "", _xlfn.CONCAT("T", TEXT(B94, "0000"), "/", VLOOKUP(D94, Internal!$B$35:C$39, 2, FALSE), IF(OR(D94="QA", D94="Revision"), _xlfn.CONCAT("/", H94), "")))</f>
        <v/>
      </c>
      <c r="D94" s="42"/>
      <c r="E94" s="41"/>
      <c r="F94" s="41"/>
      <c r="G94" s="42"/>
      <c r="H94" s="41"/>
      <c r="I94" s="44"/>
      <c r="J94" s="44"/>
      <c r="K94" s="43" t="str">
        <f t="shared" ca="1" si="2"/>
        <v/>
      </c>
      <c r="L94" s="45"/>
      <c r="M94" s="45"/>
      <c r="N94" s="43" t="str">
        <f>IF(ISBLANK(L94), "", L94*VLOOKUP($F94,Internal!$B$26:$C$32,2,FALSE))</f>
        <v/>
      </c>
      <c r="O94" s="43" t="str">
        <f>IF(ISBLANK(M94), "", M94*VLOOKUP($F94,Internal!$B$26:$C$32,2,FALSE))</f>
        <v/>
      </c>
      <c r="P94" s="42"/>
    </row>
    <row r="95" spans="2:16" ht="9.4" customHeight="1" x14ac:dyDescent="0.35">
      <c r="B95" s="39">
        <v>85</v>
      </c>
      <c r="C95" s="40" t="str">
        <f>IF(ISBLANK(D95), "", _xlfn.CONCAT("T", TEXT(B95, "0000"), "/", VLOOKUP(D95, Internal!$B$35:C$39, 2, FALSE), IF(OR(D95="QA", D95="Revision"), _xlfn.CONCAT("/", H95), "")))</f>
        <v/>
      </c>
      <c r="D95" s="42"/>
      <c r="E95" s="41"/>
      <c r="F95" s="41"/>
      <c r="G95" s="42"/>
      <c r="H95" s="41"/>
      <c r="I95" s="44"/>
      <c r="J95" s="44"/>
      <c r="K95" s="43" t="str">
        <f t="shared" ca="1" si="2"/>
        <v/>
      </c>
      <c r="L95" s="45"/>
      <c r="M95" s="45"/>
      <c r="N95" s="43" t="str">
        <f>IF(ISBLANK(L95), "", L95*VLOOKUP($F95,Internal!$B$26:$C$32,2,FALSE))</f>
        <v/>
      </c>
      <c r="O95" s="43" t="str">
        <f>IF(ISBLANK(M95), "", M95*VLOOKUP($F95,Internal!$B$26:$C$32,2,FALSE))</f>
        <v/>
      </c>
      <c r="P95" s="42"/>
    </row>
    <row r="96" spans="2:16" ht="9.4" customHeight="1" x14ac:dyDescent="0.35">
      <c r="B96" s="39">
        <v>86</v>
      </c>
      <c r="C96" s="40" t="str">
        <f>IF(ISBLANK(D96), "", _xlfn.CONCAT("T", TEXT(B96, "0000"), "/", VLOOKUP(D96, Internal!$B$35:C$39, 2, FALSE), IF(OR(D96="QA", D96="Revision"), _xlfn.CONCAT("/", H96), "")))</f>
        <v/>
      </c>
      <c r="D96" s="42"/>
      <c r="E96" s="41"/>
      <c r="F96" s="41"/>
      <c r="G96" s="42"/>
      <c r="H96" s="41"/>
      <c r="I96" s="44"/>
      <c r="J96" s="44"/>
      <c r="K96" s="43" t="str">
        <f t="shared" ca="1" si="2"/>
        <v/>
      </c>
      <c r="L96" s="45"/>
      <c r="M96" s="45"/>
      <c r="N96" s="43" t="str">
        <f>IF(ISBLANK(L96), "", L96*VLOOKUP($F96,Internal!$B$26:$C$32,2,FALSE))</f>
        <v/>
      </c>
      <c r="O96" s="43" t="str">
        <f>IF(ISBLANK(M96), "", M96*VLOOKUP($F96,Internal!$B$26:$C$32,2,FALSE))</f>
        <v/>
      </c>
      <c r="P96" s="42"/>
    </row>
    <row r="97" spans="2:16" ht="9.4" customHeight="1" x14ac:dyDescent="0.35">
      <c r="B97" s="39">
        <v>87</v>
      </c>
      <c r="C97" s="40" t="str">
        <f>IF(ISBLANK(D97), "", _xlfn.CONCAT("T", TEXT(B97, "0000"), "/", VLOOKUP(D97, Internal!$B$35:C$39, 2, FALSE), IF(OR(D97="QA", D97="Revision"), _xlfn.CONCAT("/", H97), "")))</f>
        <v/>
      </c>
      <c r="D97" s="42"/>
      <c r="E97" s="41"/>
      <c r="F97" s="41"/>
      <c r="G97" s="42"/>
      <c r="H97" s="41"/>
      <c r="I97" s="44"/>
      <c r="J97" s="44"/>
      <c r="K97" s="43" t="str">
        <f t="shared" ca="1" si="2"/>
        <v/>
      </c>
      <c r="L97" s="45"/>
      <c r="M97" s="45"/>
      <c r="N97" s="43" t="str">
        <f>IF(ISBLANK(L97), "", L97*VLOOKUP($F97,Internal!$B$26:$C$32,2,FALSE))</f>
        <v/>
      </c>
      <c r="O97" s="43" t="str">
        <f>IF(ISBLANK(M97), "", M97*VLOOKUP($F97,Internal!$B$26:$C$32,2,FALSE))</f>
        <v/>
      </c>
      <c r="P97" s="42"/>
    </row>
    <row r="98" spans="2:16" ht="9.4" customHeight="1" x14ac:dyDescent="0.35">
      <c r="B98" s="39">
        <v>88</v>
      </c>
      <c r="C98" s="40" t="str">
        <f>IF(ISBLANK(D98), "", _xlfn.CONCAT("T", TEXT(B98, "0000"), "/", VLOOKUP(D98, Internal!$B$35:C$39, 2, FALSE), IF(OR(D98="QA", D98="Revision"), _xlfn.CONCAT("/", H98), "")))</f>
        <v/>
      </c>
      <c r="D98" s="42"/>
      <c r="E98" s="41"/>
      <c r="F98" s="41"/>
      <c r="G98" s="42"/>
      <c r="H98" s="41"/>
      <c r="I98" s="44"/>
      <c r="J98" s="44"/>
      <c r="K98" s="43" t="str">
        <f t="shared" ca="1" si="2"/>
        <v/>
      </c>
      <c r="L98" s="45"/>
      <c r="M98" s="45"/>
      <c r="N98" s="43" t="str">
        <f>IF(ISBLANK(L98), "", L98*VLOOKUP($F98,Internal!$B$26:$C$32,2,FALSE))</f>
        <v/>
      </c>
      <c r="O98" s="43" t="str">
        <f>IF(ISBLANK(M98), "", M98*VLOOKUP($F98,Internal!$B$26:$C$32,2,FALSE))</f>
        <v/>
      </c>
      <c r="P98" s="42"/>
    </row>
    <row r="99" spans="2:16" ht="9.4" customHeight="1" x14ac:dyDescent="0.35">
      <c r="B99" s="39">
        <v>89</v>
      </c>
      <c r="C99" s="40" t="str">
        <f>IF(ISBLANK(D99), "", _xlfn.CONCAT("T", TEXT(B99, "0000"), "/", VLOOKUP(D99, Internal!$B$35:C$39, 2, FALSE), IF(OR(D99="QA", D99="Revision"), _xlfn.CONCAT("/", H99), "")))</f>
        <v/>
      </c>
      <c r="D99" s="42"/>
      <c r="E99" s="41"/>
      <c r="F99" s="41"/>
      <c r="G99" s="42"/>
      <c r="H99" s="41"/>
      <c r="I99" s="44"/>
      <c r="J99" s="44"/>
      <c r="K99" s="43" t="str">
        <f t="shared" ca="1" si="2"/>
        <v/>
      </c>
      <c r="L99" s="45"/>
      <c r="M99" s="45"/>
      <c r="N99" s="43" t="str">
        <f>IF(ISBLANK(L99), "", L99*VLOOKUP($F99,Internal!$B$26:$C$32,2,FALSE))</f>
        <v/>
      </c>
      <c r="O99" s="43" t="str">
        <f>IF(ISBLANK(M99), "", M99*VLOOKUP($F99,Internal!$B$26:$C$32,2,FALSE))</f>
        <v/>
      </c>
      <c r="P99" s="42"/>
    </row>
    <row r="100" spans="2:16" ht="9.4" customHeight="1" x14ac:dyDescent="0.35">
      <c r="B100" s="39">
        <v>90</v>
      </c>
      <c r="C100" s="40" t="str">
        <f>IF(ISBLANK(D100), "", _xlfn.CONCAT("T", TEXT(B100, "0000"), "/", VLOOKUP(D100, Internal!$B$35:C$39, 2, FALSE), IF(OR(D100="QA", D100="Revision"), _xlfn.CONCAT("/", H100), "")))</f>
        <v/>
      </c>
      <c r="D100" s="42"/>
      <c r="E100" s="41"/>
      <c r="F100" s="41"/>
      <c r="G100" s="42"/>
      <c r="H100" s="41"/>
      <c r="I100" s="44"/>
      <c r="J100" s="44"/>
      <c r="K100" s="43" t="str">
        <f t="shared" ca="1" si="2"/>
        <v/>
      </c>
      <c r="L100" s="45"/>
      <c r="M100" s="45"/>
      <c r="N100" s="43" t="str">
        <f>IF(ISBLANK(L100), "", L100*VLOOKUP($F100,Internal!$B$26:$C$32,2,FALSE))</f>
        <v/>
      </c>
      <c r="O100" s="43" t="str">
        <f>IF(ISBLANK(M100), "", M100*VLOOKUP($F100,Internal!$B$26:$C$32,2,FALSE))</f>
        <v/>
      </c>
      <c r="P100" s="42"/>
    </row>
    <row r="101" spans="2:16" ht="9.4" customHeight="1" x14ac:dyDescent="0.35">
      <c r="B101" s="39">
        <v>91</v>
      </c>
      <c r="C101" s="40" t="str">
        <f>IF(ISBLANK(D101), "", _xlfn.CONCAT("T", TEXT(B101, "0000"), "/", VLOOKUP(D101, Internal!$B$35:C$39, 2, FALSE), IF(OR(D101="QA", D101="Revision"), _xlfn.CONCAT("/", H101), "")))</f>
        <v/>
      </c>
      <c r="D101" s="42"/>
      <c r="E101" s="41"/>
      <c r="F101" s="41"/>
      <c r="G101" s="42"/>
      <c r="H101" s="41"/>
      <c r="I101" s="44"/>
      <c r="J101" s="44"/>
      <c r="K101" s="43" t="str">
        <f t="shared" ca="1" si="2"/>
        <v/>
      </c>
      <c r="L101" s="45"/>
      <c r="M101" s="45"/>
      <c r="N101" s="43" t="str">
        <f>IF(ISBLANK(L101), "", L101*VLOOKUP($F101,Internal!$B$26:$C$32,2,FALSE))</f>
        <v/>
      </c>
      <c r="O101" s="43" t="str">
        <f>IF(ISBLANK(M101), "", M101*VLOOKUP($F101,Internal!$B$26:$C$32,2,FALSE))</f>
        <v/>
      </c>
      <c r="P101" s="42"/>
    </row>
    <row r="102" spans="2:16" ht="9.4" customHeight="1" x14ac:dyDescent="0.35">
      <c r="B102" s="39">
        <v>92</v>
      </c>
      <c r="C102" s="40" t="str">
        <f>IF(ISBLANK(D102), "", _xlfn.CONCAT("T", TEXT(B102, "0000"), "/", VLOOKUP(D102, Internal!$B$35:C$39, 2, FALSE), IF(OR(D102="QA", D102="Revision"), _xlfn.CONCAT("/", H102), "")))</f>
        <v/>
      </c>
      <c r="D102" s="42"/>
      <c r="E102" s="41"/>
      <c r="F102" s="41"/>
      <c r="G102" s="42"/>
      <c r="H102" s="41"/>
      <c r="I102" s="44"/>
      <c r="J102" s="44"/>
      <c r="K102" s="43" t="str">
        <f t="shared" ca="1" si="2"/>
        <v/>
      </c>
      <c r="L102" s="45"/>
      <c r="M102" s="45"/>
      <c r="N102" s="43" t="str">
        <f>IF(ISBLANK(L102), "", L102*VLOOKUP($F102,Internal!$B$26:$C$32,2,FALSE))</f>
        <v/>
      </c>
      <c r="O102" s="43" t="str">
        <f>IF(ISBLANK(M102), "", M102*VLOOKUP($F102,Internal!$B$26:$C$32,2,FALSE))</f>
        <v/>
      </c>
      <c r="P102" s="42"/>
    </row>
    <row r="103" spans="2:16" ht="9.4" customHeight="1" x14ac:dyDescent="0.35">
      <c r="B103" s="39">
        <v>93</v>
      </c>
      <c r="C103" s="40" t="str">
        <f>IF(ISBLANK(D103), "", _xlfn.CONCAT("T", TEXT(B103, "0000"), "/", VLOOKUP(D103, Internal!$B$35:C$39, 2, FALSE), IF(OR(D103="QA", D103="Revision"), _xlfn.CONCAT("/", H103), "")))</f>
        <v/>
      </c>
      <c r="D103" s="42"/>
      <c r="E103" s="41"/>
      <c r="F103" s="41"/>
      <c r="G103" s="42"/>
      <c r="H103" s="41"/>
      <c r="I103" s="44"/>
      <c r="J103" s="44"/>
      <c r="K103" s="43" t="str">
        <f t="shared" ca="1" si="2"/>
        <v/>
      </c>
      <c r="L103" s="45"/>
      <c r="M103" s="45"/>
      <c r="N103" s="43" t="str">
        <f>IF(ISBLANK(L103), "", L103*VLOOKUP($F103,Internal!$B$26:$C$32,2,FALSE))</f>
        <v/>
      </c>
      <c r="O103" s="43" t="str">
        <f>IF(ISBLANK(M103), "", M103*VLOOKUP($F103,Internal!$B$26:$C$32,2,FALSE))</f>
        <v/>
      </c>
      <c r="P103" s="42"/>
    </row>
    <row r="104" spans="2:16" ht="9.4" customHeight="1" x14ac:dyDescent="0.35">
      <c r="B104" s="39">
        <v>94</v>
      </c>
      <c r="C104" s="40" t="str">
        <f>IF(ISBLANK(D104), "", _xlfn.CONCAT("T", TEXT(B104, "0000"), "/", VLOOKUP(D104, Internal!$B$35:C$39, 2, FALSE), IF(OR(D104="QA", D104="Revision"), _xlfn.CONCAT("/", H104), "")))</f>
        <v/>
      </c>
      <c r="D104" s="42"/>
      <c r="E104" s="41"/>
      <c r="F104" s="41"/>
      <c r="G104" s="42"/>
      <c r="H104" s="41"/>
      <c r="I104" s="44"/>
      <c r="J104" s="44"/>
      <c r="K104" s="43" t="str">
        <f t="shared" ca="1" si="2"/>
        <v/>
      </c>
      <c r="L104" s="45"/>
      <c r="M104" s="45"/>
      <c r="N104" s="43" t="str">
        <f>IF(ISBLANK(L104), "", L104*VLOOKUP($F104,Internal!$B$26:$C$32,2,FALSE))</f>
        <v/>
      </c>
      <c r="O104" s="43" t="str">
        <f>IF(ISBLANK(M104), "", M104*VLOOKUP($F104,Internal!$B$26:$C$32,2,FALSE))</f>
        <v/>
      </c>
      <c r="P104" s="42"/>
    </row>
    <row r="105" spans="2:16" ht="9.4" customHeight="1" x14ac:dyDescent="0.35">
      <c r="B105" s="39">
        <v>95</v>
      </c>
      <c r="C105" s="40" t="str">
        <f>IF(ISBLANK(D105), "", _xlfn.CONCAT("T", TEXT(B105, "0000"), "/", VLOOKUP(D105, Internal!$B$35:C$39, 2, FALSE), IF(OR(D105="QA", D105="Revision"), _xlfn.CONCAT("/", H105), "")))</f>
        <v/>
      </c>
      <c r="D105" s="42"/>
      <c r="E105" s="41"/>
      <c r="F105" s="41"/>
      <c r="G105" s="42"/>
      <c r="H105" s="41"/>
      <c r="I105" s="44"/>
      <c r="J105" s="44"/>
      <c r="K105" s="43" t="str">
        <f t="shared" ca="1" si="2"/>
        <v/>
      </c>
      <c r="L105" s="45"/>
      <c r="M105" s="45"/>
      <c r="N105" s="43" t="str">
        <f>IF(ISBLANK(L105), "", L105*VLOOKUP($F105,Internal!$B$26:$C$32,2,FALSE))</f>
        <v/>
      </c>
      <c r="O105" s="43" t="str">
        <f>IF(ISBLANK(M105), "", M105*VLOOKUP($F105,Internal!$B$26:$C$32,2,FALSE))</f>
        <v/>
      </c>
      <c r="P105" s="42"/>
    </row>
    <row r="106" spans="2:16" ht="9.4" customHeight="1" x14ac:dyDescent="0.35">
      <c r="B106" s="39">
        <v>96</v>
      </c>
      <c r="C106" s="40" t="str">
        <f>IF(ISBLANK(D106), "", _xlfn.CONCAT("T", TEXT(B106, "0000"), "/", VLOOKUP(D106, Internal!$B$35:C$39, 2, FALSE), IF(OR(D106="QA", D106="Revision"), _xlfn.CONCAT("/", H106), "")))</f>
        <v/>
      </c>
      <c r="D106" s="42"/>
      <c r="E106" s="41"/>
      <c r="F106" s="41"/>
      <c r="G106" s="42"/>
      <c r="H106" s="41"/>
      <c r="I106" s="44"/>
      <c r="J106" s="44"/>
      <c r="K106" s="43" t="str">
        <f t="shared" ca="1" si="2"/>
        <v/>
      </c>
      <c r="L106" s="45"/>
      <c r="M106" s="45"/>
      <c r="N106" s="43" t="str">
        <f>IF(ISBLANK(L106), "", L106*VLOOKUP($F106,Internal!$B$26:$C$32,2,FALSE))</f>
        <v/>
      </c>
      <c r="O106" s="43" t="str">
        <f>IF(ISBLANK(M106), "", M106*VLOOKUP($F106,Internal!$B$26:$C$32,2,FALSE))</f>
        <v/>
      </c>
      <c r="P106" s="42"/>
    </row>
    <row r="107" spans="2:16" ht="9.4" customHeight="1" x14ac:dyDescent="0.35">
      <c r="B107" s="39">
        <v>97</v>
      </c>
      <c r="C107" s="40" t="str">
        <f>IF(ISBLANK(D107), "", _xlfn.CONCAT("T", TEXT(B107, "0000"), "/", VLOOKUP(D107, Internal!$B$35:C$39, 2, FALSE), IF(OR(D107="QA", D107="Revision"), _xlfn.CONCAT("/", H107), "")))</f>
        <v/>
      </c>
      <c r="D107" s="42"/>
      <c r="E107" s="41"/>
      <c r="F107" s="41"/>
      <c r="G107" s="42"/>
      <c r="H107" s="41"/>
      <c r="I107" s="44"/>
      <c r="J107" s="44"/>
      <c r="K107" s="43" t="str">
        <f t="shared" ca="1" si="2"/>
        <v/>
      </c>
      <c r="L107" s="45"/>
      <c r="M107" s="45"/>
      <c r="N107" s="43" t="str">
        <f>IF(ISBLANK(L107), "", L107*VLOOKUP($F107,Internal!$B$26:$C$32,2,FALSE))</f>
        <v/>
      </c>
      <c r="O107" s="43" t="str">
        <f>IF(ISBLANK(M107), "", M107*VLOOKUP($F107,Internal!$B$26:$C$32,2,FALSE))</f>
        <v/>
      </c>
      <c r="P107" s="42"/>
    </row>
    <row r="108" spans="2:16" ht="9.4" customHeight="1" x14ac:dyDescent="0.35">
      <c r="B108" s="39">
        <v>98</v>
      </c>
      <c r="C108" s="40" t="str">
        <f>IF(ISBLANK(D108), "", _xlfn.CONCAT("T", TEXT(B108, "0000"), "/", VLOOKUP(D108, Internal!$B$35:C$39, 2, FALSE), IF(OR(D108="QA", D108="Revision"), _xlfn.CONCAT("/", H108), "")))</f>
        <v/>
      </c>
      <c r="D108" s="42"/>
      <c r="E108" s="41"/>
      <c r="F108" s="41"/>
      <c r="G108" s="42"/>
      <c r="H108" s="41"/>
      <c r="I108" s="44"/>
      <c r="J108" s="44"/>
      <c r="K108" s="43" t="str">
        <f t="shared" ca="1" si="2"/>
        <v/>
      </c>
      <c r="L108" s="45"/>
      <c r="M108" s="45"/>
      <c r="N108" s="43" t="str">
        <f>IF(ISBLANK(L108), "", L108*VLOOKUP($F108,Internal!$B$26:$C$32,2,FALSE))</f>
        <v/>
      </c>
      <c r="O108" s="43" t="str">
        <f>IF(ISBLANK(M108), "", M108*VLOOKUP($F108,Internal!$B$26:$C$32,2,FALSE))</f>
        <v/>
      </c>
      <c r="P108" s="42"/>
    </row>
    <row r="109" spans="2:16" ht="9.4" customHeight="1" x14ac:dyDescent="0.35">
      <c r="B109" s="39">
        <v>99</v>
      </c>
      <c r="C109" s="40" t="str">
        <f>IF(ISBLANK(D109), "", _xlfn.CONCAT("T", TEXT(B109, "0000"), "/", VLOOKUP(D109, Internal!$B$35:C$39, 2, FALSE), IF(OR(D109="QA", D109="Revision"), _xlfn.CONCAT("/", H109), "")))</f>
        <v/>
      </c>
      <c r="D109" s="42"/>
      <c r="E109" s="41"/>
      <c r="F109" s="41"/>
      <c r="G109" s="42"/>
      <c r="H109" s="41"/>
      <c r="I109" s="44"/>
      <c r="J109" s="44"/>
      <c r="K109" s="43" t="str">
        <f t="shared" ca="1" si="2"/>
        <v/>
      </c>
      <c r="L109" s="45"/>
      <c r="M109" s="45"/>
      <c r="N109" s="43" t="str">
        <f>IF(ISBLANK(L109), "", L109*VLOOKUP($F109,Internal!$B$26:$C$32,2,FALSE))</f>
        <v/>
      </c>
      <c r="O109" s="43" t="str">
        <f>IF(ISBLANK(M109), "", M109*VLOOKUP($F109,Internal!$B$26:$C$32,2,FALSE))</f>
        <v/>
      </c>
      <c r="P109" s="42"/>
    </row>
    <row r="110" spans="2:16" ht="9.4" customHeight="1" x14ac:dyDescent="0.35">
      <c r="B110" s="39">
        <v>100</v>
      </c>
      <c r="C110" s="40" t="str">
        <f>IF(ISBLANK(D110), "", _xlfn.CONCAT("T", TEXT(B110, "0000"), "/", VLOOKUP(D110, Internal!$B$35:C$39, 2, FALSE), IF(OR(D110="QA", D110="Revision"), _xlfn.CONCAT("/", H110), "")))</f>
        <v/>
      </c>
      <c r="D110" s="42"/>
      <c r="E110" s="41"/>
      <c r="F110" s="41"/>
      <c r="G110" s="42"/>
      <c r="H110" s="41"/>
      <c r="I110" s="44"/>
      <c r="J110" s="44"/>
      <c r="K110" s="43" t="str">
        <f t="shared" ca="1" si="2"/>
        <v/>
      </c>
      <c r="L110" s="45"/>
      <c r="M110" s="45"/>
      <c r="N110" s="43" t="str">
        <f>IF(ISBLANK(L110), "", L110*VLOOKUP($F110,Internal!$B$26:$C$32,2,FALSE))</f>
        <v/>
      </c>
      <c r="O110" s="43" t="str">
        <f>IF(ISBLANK(M110), "", M110*VLOOKUP($F110,Internal!$B$26:$C$32,2,FALSE))</f>
        <v/>
      </c>
      <c r="P110" s="42"/>
    </row>
  </sheetData>
  <mergeCells count="6">
    <mergeCell ref="N9:O9"/>
    <mergeCell ref="C4:P4"/>
    <mergeCell ref="C2:P2"/>
    <mergeCell ref="C6:C7"/>
    <mergeCell ref="I9:J9"/>
    <mergeCell ref="L9:M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00000000-0002-0000-0400-000000000000}">
      <formula1>0</formula1>
      <formula2>1024</formula2>
    </dataValidation>
    <dataValidation allowBlank="1" showInputMessage="1" showErrorMessage="1" promptTitle="Description" prompt="Provide a succint description of the task.  If not possible, the provide a link to a document where is is described." sqref="P10" xr:uid="{00000000-0002-0000-0400-000001000000}"/>
    <dataValidation allowBlank="1" showInputMessage="1" showErrorMessage="1" promptTitle="Actual workload" prompt="Enter the actual workload in hours or fractions._x000a_" sqref="M11:M110" xr:uid="{00000000-0002-0000-0400-000002000000}"/>
    <dataValidation allowBlank="1" showInputMessage="1" showErrorMessage="1" promptTitle="Description" prompt="If actually necessary, then write a succint description and/or include a link to a document that provides further information." sqref="K11:K110 P11:P110" xr:uid="{00000000-0002-0000-0400-000003000000}"/>
    <dataValidation allowBlank="1" showInputMessage="1" showErrorMessage="1" promptTitle="Costs" prompt="The costs are updated automatically.  Don't modify them manually" sqref="N11:O110" xr:uid="{00000000-0002-0000-0400-000004000000}"/>
    <dataValidation allowBlank="1" showInputMessage="1" showErrorMessage="1" promptTitle="ID" prompt="The IDs are updated automatically.  Don't modify them manually" sqref="C11:C110" xr:uid="{00000000-0002-0000-0400-000005000000}"/>
    <dataValidation allowBlank="1" showInputMessage="1" showErrorMessage="1" promptTitle="ORDER" prompt="Order numbers are internal data.  Do not change them._x000a_" sqref="B11:B110" xr:uid="{00000000-0002-0000-0400-000006000000}"/>
    <dataValidation type="list" allowBlank="1" showInputMessage="1" showErrorMessage="1" promptTitle="Activity" prompt="Select the Activity to perfom.  Use &quot;Other&quot; only in truly exceptional cases." sqref="G11:G110" xr:uid="{00000000-0002-0000-0400-000007000000}">
      <formula1>INDIRECT(F11)</formula1>
    </dataValidation>
    <dataValidation type="list" allowBlank="1" showInputMessage="1" showErrorMessage="1" promptTitle="Parent" prompt="Select the parent task if necessary.  Usually, only &quot;Quality Assurance&quot; and &quot;Revision&quot; tasks have parents." sqref="H11:H110" xr:uid="{00000000-0002-0000-0400-000008000000}">
      <formula1>$C$11:$C$110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39"/>
  <sheetViews>
    <sheetView workbookViewId="0"/>
  </sheetViews>
  <sheetFormatPr defaultColWidth="8.7265625" defaultRowHeight="14.5" x14ac:dyDescent="0.35"/>
  <cols>
    <col min="2" max="10" width="22" customWidth="1"/>
  </cols>
  <sheetData>
    <row r="2" spans="2:10" ht="9.4" customHeight="1" x14ac:dyDescent="0.35">
      <c r="B2" s="53" t="s">
        <v>188</v>
      </c>
      <c r="C2" s="55"/>
      <c r="D2" s="55"/>
      <c r="E2" s="55"/>
      <c r="F2" s="55"/>
      <c r="G2" s="55"/>
      <c r="H2" s="55"/>
      <c r="I2" s="55"/>
      <c r="J2" s="55"/>
    </row>
    <row r="4" spans="2:10" x14ac:dyDescent="0.35">
      <c r="B4" s="51" t="s">
        <v>189</v>
      </c>
      <c r="C4" s="55"/>
      <c r="D4" s="55"/>
      <c r="E4" s="55"/>
      <c r="F4" s="55"/>
      <c r="G4" s="55"/>
      <c r="H4" s="55"/>
      <c r="I4" s="55"/>
      <c r="J4" s="55"/>
    </row>
    <row r="5" spans="2:10" x14ac:dyDescent="0.35">
      <c r="B5" s="55"/>
      <c r="C5" s="55"/>
      <c r="D5" s="55"/>
      <c r="E5" s="55"/>
      <c r="F5" s="55"/>
      <c r="G5" s="55"/>
      <c r="H5" s="55"/>
      <c r="I5" s="55"/>
      <c r="J5" s="55"/>
    </row>
    <row r="6" spans="2:10" x14ac:dyDescent="0.35">
      <c r="B6" s="55"/>
      <c r="C6" s="55"/>
      <c r="D6" s="55"/>
      <c r="E6" s="55"/>
      <c r="F6" s="55"/>
      <c r="G6" s="55"/>
      <c r="H6" s="55"/>
      <c r="I6" s="55"/>
      <c r="J6" s="55"/>
    </row>
    <row r="7" spans="2:10" x14ac:dyDescent="0.35">
      <c r="B7" s="5"/>
      <c r="C7" s="5"/>
      <c r="D7" s="5"/>
      <c r="E7" s="5"/>
      <c r="F7" s="5"/>
      <c r="G7" s="5"/>
      <c r="H7" s="5"/>
      <c r="I7" s="5"/>
      <c r="J7" s="5"/>
    </row>
    <row r="8" spans="2:10" ht="9.4" customHeight="1" x14ac:dyDescent="0.35">
      <c r="B8" s="25" t="s">
        <v>190</v>
      </c>
      <c r="C8" s="12"/>
      <c r="D8" s="12"/>
      <c r="E8" s="12"/>
      <c r="F8" s="12"/>
      <c r="G8" s="12"/>
      <c r="H8" s="12"/>
      <c r="I8" s="12"/>
      <c r="J8" s="12"/>
    </row>
    <row r="9" spans="2:10" x14ac:dyDescent="0.35">
      <c r="B9" s="13" t="s">
        <v>69</v>
      </c>
      <c r="C9" s="12"/>
      <c r="D9" s="12"/>
      <c r="E9" s="12"/>
      <c r="F9" s="12"/>
      <c r="G9" s="12"/>
      <c r="H9" s="12"/>
      <c r="I9" s="12"/>
      <c r="J9" s="12"/>
    </row>
    <row r="10" spans="2:10" x14ac:dyDescent="0.35">
      <c r="B10" s="13" t="s">
        <v>82</v>
      </c>
      <c r="C10" s="12"/>
      <c r="D10" s="12"/>
      <c r="E10" s="12"/>
      <c r="F10" s="12"/>
      <c r="G10" s="12"/>
      <c r="H10" s="12"/>
      <c r="I10" s="12"/>
      <c r="J10" s="12"/>
    </row>
    <row r="11" spans="2:10" x14ac:dyDescent="0.35">
      <c r="B11" s="13" t="s">
        <v>86</v>
      </c>
      <c r="C11" s="12"/>
      <c r="D11" s="12"/>
      <c r="E11" s="12"/>
      <c r="F11" s="12"/>
      <c r="G11" s="12"/>
      <c r="H11" s="12"/>
      <c r="I11" s="12"/>
      <c r="J11" s="12"/>
    </row>
    <row r="12" spans="2:10" x14ac:dyDescent="0.35">
      <c r="B12" s="13" t="s">
        <v>89</v>
      </c>
      <c r="C12" s="12"/>
      <c r="D12" s="12"/>
      <c r="E12" s="12"/>
      <c r="F12" s="12"/>
      <c r="G12" s="12"/>
      <c r="H12" s="12"/>
      <c r="I12" s="12"/>
      <c r="J12" s="12"/>
    </row>
    <row r="13" spans="2:10" x14ac:dyDescent="0.35">
      <c r="B13" s="13" t="s">
        <v>92</v>
      </c>
      <c r="C13" s="12"/>
      <c r="D13" s="12"/>
      <c r="E13" s="12"/>
      <c r="F13" s="12"/>
      <c r="G13" s="12"/>
      <c r="H13" s="12"/>
      <c r="I13" s="12"/>
      <c r="J13" s="12"/>
    </row>
    <row r="14" spans="2:10" x14ac:dyDescent="0.35">
      <c r="B14" s="14" t="s">
        <v>32</v>
      </c>
      <c r="C14" s="12"/>
      <c r="D14" s="12"/>
      <c r="E14" s="12"/>
      <c r="F14" s="12"/>
      <c r="G14" s="12"/>
      <c r="H14" s="12"/>
      <c r="I14" s="12"/>
      <c r="J14" s="12"/>
    </row>
    <row r="15" spans="2:10" x14ac:dyDescent="0.35">
      <c r="B15" s="3"/>
      <c r="C15" s="12"/>
      <c r="D15" s="12"/>
      <c r="E15" s="12"/>
      <c r="F15" s="12"/>
      <c r="G15" s="12"/>
      <c r="H15" s="12"/>
      <c r="I15" s="12"/>
      <c r="J15" s="12"/>
    </row>
    <row r="16" spans="2:10" ht="9.4" customHeight="1" x14ac:dyDescent="0.35">
      <c r="B16" s="26" t="s">
        <v>191</v>
      </c>
      <c r="C16" s="12"/>
      <c r="D16" s="12"/>
      <c r="E16" s="12"/>
      <c r="F16" s="12"/>
      <c r="G16" s="12"/>
      <c r="H16" s="12"/>
      <c r="I16" s="12"/>
      <c r="J16" s="12"/>
    </row>
    <row r="17" spans="2:10" x14ac:dyDescent="0.35">
      <c r="B17" s="15" t="s">
        <v>63</v>
      </c>
      <c r="C17" s="12"/>
      <c r="D17" s="12"/>
      <c r="E17" s="12"/>
      <c r="F17" s="12"/>
      <c r="G17" s="12"/>
      <c r="H17" s="12"/>
      <c r="I17" s="12"/>
      <c r="J17" s="12"/>
    </row>
    <row r="18" spans="2:10" x14ac:dyDescent="0.35">
      <c r="B18" s="15" t="s">
        <v>192</v>
      </c>
      <c r="C18" s="12"/>
      <c r="D18" s="12"/>
      <c r="E18" s="12"/>
      <c r="F18" s="12"/>
      <c r="G18" s="12"/>
      <c r="H18" s="12"/>
      <c r="I18" s="12"/>
      <c r="J18" s="12"/>
    </row>
    <row r="19" spans="2:10" x14ac:dyDescent="0.35">
      <c r="B19" s="16" t="s">
        <v>193</v>
      </c>
      <c r="C19" s="12"/>
      <c r="D19" s="12"/>
      <c r="E19" s="12"/>
      <c r="F19" s="12"/>
      <c r="G19" s="12"/>
      <c r="H19" s="12"/>
      <c r="I19" s="12"/>
      <c r="J19" s="12"/>
    </row>
    <row r="20" spans="2:10" x14ac:dyDescent="0.35">
      <c r="B20" s="3"/>
      <c r="C20" s="12"/>
      <c r="D20" s="12"/>
      <c r="E20" s="12"/>
      <c r="F20" s="12"/>
      <c r="G20" s="12"/>
      <c r="H20" s="12"/>
      <c r="I20" s="12"/>
      <c r="J20" s="12"/>
    </row>
    <row r="21" spans="2:10" ht="9.4" customHeight="1" x14ac:dyDescent="0.35">
      <c r="B21" s="26" t="s">
        <v>194</v>
      </c>
      <c r="C21" s="12"/>
      <c r="D21" s="12"/>
      <c r="E21" s="12"/>
      <c r="F21" s="12"/>
      <c r="G21" s="12"/>
      <c r="H21" s="12"/>
      <c r="I21" s="12"/>
      <c r="J21" s="12"/>
    </row>
    <row r="22" spans="2:10" x14ac:dyDescent="0.35">
      <c r="B22" s="17">
        <v>45658</v>
      </c>
      <c r="C22" s="12"/>
      <c r="D22" s="12"/>
      <c r="E22" s="12"/>
      <c r="F22" s="12"/>
      <c r="G22" s="12"/>
      <c r="H22" s="12"/>
      <c r="I22" s="12"/>
      <c r="J22" s="12"/>
    </row>
    <row r="23" spans="2:10" x14ac:dyDescent="0.35">
      <c r="B23" s="18" t="s">
        <v>195</v>
      </c>
      <c r="C23" s="12"/>
      <c r="D23" s="12"/>
      <c r="E23" s="12"/>
      <c r="F23" s="12"/>
      <c r="G23" s="12"/>
      <c r="H23" s="12"/>
      <c r="I23" s="12"/>
      <c r="J23" s="12"/>
    </row>
    <row r="24" spans="2:10" x14ac:dyDescent="0.35">
      <c r="B24" s="12"/>
      <c r="C24" s="12"/>
      <c r="D24" s="12"/>
      <c r="E24" s="12"/>
      <c r="F24" s="12"/>
      <c r="G24" s="12"/>
      <c r="H24" s="12"/>
      <c r="I24" s="12"/>
      <c r="J24" s="12"/>
    </row>
    <row r="25" spans="2:10" ht="9.4" customHeight="1" x14ac:dyDescent="0.35">
      <c r="B25" s="27" t="s">
        <v>196</v>
      </c>
      <c r="C25" s="28" t="s">
        <v>197</v>
      </c>
      <c r="D25" s="28" t="s">
        <v>198</v>
      </c>
      <c r="E25" s="29"/>
      <c r="F25" s="29"/>
      <c r="G25" s="29"/>
      <c r="H25" s="29"/>
      <c r="I25" s="29"/>
      <c r="J25" s="30"/>
    </row>
    <row r="26" spans="2:10" x14ac:dyDescent="0.35">
      <c r="B26" s="19" t="s">
        <v>33</v>
      </c>
      <c r="C26" s="49">
        <v>0</v>
      </c>
      <c r="D26" s="12" t="s">
        <v>34</v>
      </c>
      <c r="E26" s="12" t="s">
        <v>199</v>
      </c>
      <c r="F26" s="12" t="s">
        <v>200</v>
      </c>
      <c r="G26" s="12" t="s">
        <v>201</v>
      </c>
      <c r="H26" s="12"/>
      <c r="I26" s="12"/>
      <c r="J26" s="20"/>
    </row>
    <row r="27" spans="2:10" x14ac:dyDescent="0.35">
      <c r="B27" s="19" t="s">
        <v>70</v>
      </c>
      <c r="C27" s="49">
        <v>50</v>
      </c>
      <c r="D27" s="12" t="s">
        <v>71</v>
      </c>
      <c r="E27" s="12" t="s">
        <v>202</v>
      </c>
      <c r="F27" s="12" t="s">
        <v>74</v>
      </c>
      <c r="G27" s="12" t="s">
        <v>203</v>
      </c>
      <c r="H27" s="12" t="s">
        <v>204</v>
      </c>
      <c r="I27" s="12" t="s">
        <v>201</v>
      </c>
      <c r="J27" s="20"/>
    </row>
    <row r="28" spans="2:10" x14ac:dyDescent="0.35">
      <c r="B28" s="19" t="s">
        <v>205</v>
      </c>
      <c r="C28" s="49">
        <v>40</v>
      </c>
      <c r="D28" s="12" t="s">
        <v>206</v>
      </c>
      <c r="E28" s="12" t="s">
        <v>207</v>
      </c>
      <c r="F28" s="12" t="s">
        <v>208</v>
      </c>
      <c r="G28" s="12" t="s">
        <v>204</v>
      </c>
      <c r="H28" s="12" t="s">
        <v>201</v>
      </c>
      <c r="I28" s="12"/>
      <c r="J28" s="20"/>
    </row>
    <row r="29" spans="2:10" x14ac:dyDescent="0.35">
      <c r="B29" s="19" t="s">
        <v>78</v>
      </c>
      <c r="C29" s="49">
        <v>25</v>
      </c>
      <c r="D29" s="12" t="s">
        <v>209</v>
      </c>
      <c r="E29" s="12" t="s">
        <v>79</v>
      </c>
      <c r="F29" s="12" t="s">
        <v>83</v>
      </c>
      <c r="G29" s="12" t="s">
        <v>210</v>
      </c>
      <c r="H29" s="12" t="s">
        <v>204</v>
      </c>
      <c r="I29" s="12" t="s">
        <v>201</v>
      </c>
      <c r="J29" s="20"/>
    </row>
    <row r="30" spans="2:10" x14ac:dyDescent="0.35">
      <c r="B30" s="19" t="s">
        <v>96</v>
      </c>
      <c r="C30" s="49">
        <v>30</v>
      </c>
      <c r="D30" s="12" t="s">
        <v>211</v>
      </c>
      <c r="E30" s="12" t="s">
        <v>212</v>
      </c>
      <c r="F30" s="12" t="s">
        <v>114</v>
      </c>
      <c r="G30" s="12" t="s">
        <v>97</v>
      </c>
      <c r="H30" s="12" t="s">
        <v>204</v>
      </c>
      <c r="I30" s="12" t="s">
        <v>201</v>
      </c>
      <c r="J30" s="20"/>
    </row>
    <row r="31" spans="2:10" x14ac:dyDescent="0.35">
      <c r="B31" s="21" t="s">
        <v>213</v>
      </c>
      <c r="C31" s="49">
        <v>30</v>
      </c>
      <c r="D31" s="12" t="s">
        <v>214</v>
      </c>
      <c r="E31" s="12" t="s">
        <v>215</v>
      </c>
      <c r="F31" s="12" t="s">
        <v>216</v>
      </c>
      <c r="G31" s="12" t="s">
        <v>217</v>
      </c>
      <c r="H31" s="12" t="s">
        <v>218</v>
      </c>
      <c r="I31" s="12" t="s">
        <v>204</v>
      </c>
      <c r="J31" s="20" t="s">
        <v>201</v>
      </c>
    </row>
    <row r="32" spans="2:10" x14ac:dyDescent="0.35">
      <c r="B32" s="22" t="s">
        <v>31</v>
      </c>
      <c r="C32" s="50">
        <v>10</v>
      </c>
      <c r="D32" s="23" t="s">
        <v>201</v>
      </c>
      <c r="E32" s="23"/>
      <c r="F32" s="23"/>
      <c r="G32" s="23"/>
      <c r="H32" s="23"/>
      <c r="I32" s="23"/>
      <c r="J32" s="24"/>
    </row>
    <row r="33" spans="2:10" x14ac:dyDescent="0.35">
      <c r="B33" s="12"/>
      <c r="C33" s="12"/>
      <c r="D33" s="12"/>
      <c r="E33" s="12"/>
      <c r="F33" s="12"/>
      <c r="G33" s="12"/>
      <c r="H33" s="12"/>
      <c r="I33" s="12"/>
      <c r="J33" s="12"/>
    </row>
    <row r="34" spans="2:10" ht="9.4" customHeight="1" x14ac:dyDescent="0.35">
      <c r="B34" s="32" t="s">
        <v>219</v>
      </c>
      <c r="C34" s="33" t="s">
        <v>220</v>
      </c>
      <c r="D34" s="12"/>
      <c r="E34" s="12"/>
      <c r="F34" s="12"/>
      <c r="G34" s="12"/>
      <c r="H34" s="12"/>
      <c r="I34" s="12"/>
      <c r="J34" s="12"/>
    </row>
    <row r="35" spans="2:10" x14ac:dyDescent="0.35">
      <c r="B35" s="21" t="s">
        <v>68</v>
      </c>
      <c r="C35" s="20" t="s">
        <v>221</v>
      </c>
      <c r="D35" s="12"/>
      <c r="E35" s="12"/>
      <c r="F35" s="12"/>
      <c r="G35" s="12"/>
      <c r="H35" s="12"/>
      <c r="I35" s="12"/>
      <c r="J35" s="12"/>
    </row>
    <row r="36" spans="2:10" x14ac:dyDescent="0.35">
      <c r="B36" s="21" t="s">
        <v>77</v>
      </c>
      <c r="C36" s="20" t="s">
        <v>222</v>
      </c>
      <c r="D36" s="12"/>
      <c r="E36" s="12"/>
      <c r="F36" s="12"/>
      <c r="G36" s="12"/>
      <c r="H36" s="12"/>
      <c r="I36" s="12"/>
      <c r="J36" s="12"/>
    </row>
    <row r="37" spans="2:10" x14ac:dyDescent="0.35">
      <c r="B37" s="21" t="s">
        <v>95</v>
      </c>
      <c r="C37" s="20" t="s">
        <v>95</v>
      </c>
      <c r="D37" s="12"/>
      <c r="E37" s="12"/>
      <c r="F37" s="12"/>
      <c r="G37" s="12"/>
      <c r="H37" s="12"/>
      <c r="I37" s="12"/>
      <c r="J37" s="12"/>
    </row>
    <row r="38" spans="2:10" x14ac:dyDescent="0.35">
      <c r="B38" s="21" t="s">
        <v>223</v>
      </c>
      <c r="C38" s="20" t="s">
        <v>224</v>
      </c>
      <c r="D38" s="12"/>
      <c r="E38" s="12"/>
      <c r="F38" s="12"/>
      <c r="G38" s="12"/>
      <c r="H38" s="12"/>
      <c r="I38" s="12"/>
      <c r="J38" s="12"/>
    </row>
    <row r="39" spans="2:10" x14ac:dyDescent="0.35">
      <c r="B39" s="31" t="s">
        <v>31</v>
      </c>
      <c r="C39" s="24" t="s">
        <v>225</v>
      </c>
      <c r="D39" s="12"/>
      <c r="E39" s="12"/>
      <c r="F39" s="12"/>
      <c r="G39" s="12"/>
      <c r="H39" s="12"/>
      <c r="I39" s="12"/>
      <c r="J39" s="12"/>
    </row>
  </sheetData>
  <mergeCells count="2">
    <mergeCell ref="B4:J6"/>
    <mergeCell ref="B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PEREZ GASPAR</cp:lastModifiedBy>
  <dcterms:modified xsi:type="dcterms:W3CDTF">2026-03-20T14:34:13Z</dcterms:modified>
</cp:coreProperties>
</file>